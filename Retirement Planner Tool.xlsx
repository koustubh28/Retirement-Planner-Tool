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Koustubh\OneDrive\Desktop\Web Analytics\Retirement Planning Tool\"/>
    </mc:Choice>
  </mc:AlternateContent>
  <xr:revisionPtr revIDLastSave="0" documentId="13_ncr:1_{B8C2F157-AEC0-4B90-8665-2BBBC1AAE66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ner" sheetId="1" r:id="rId1"/>
    <sheet name="Detail" sheetId="4" r:id="rId2"/>
    <sheet name="Calculations" sheetId="2" state="hidden" r:id="rId3"/>
    <sheet name="Support" sheetId="3" state="hidden" r:id="rId4"/>
  </sheets>
  <definedNames>
    <definedName name="age_when_money_runs_out">Support!$B$9</definedName>
    <definedName name="Annual_Income_Increase">Planner!$B$12</definedName>
    <definedName name="annual_inflation">Planner!$B$11</definedName>
    <definedName name="current_age">Planner!$B$5</definedName>
    <definedName name="current_annual_expenses">Planner!$B$7</definedName>
    <definedName name="current_annual_income">Planner!$B$6</definedName>
    <definedName name="current_retirement_savings">Planner!$B$8</definedName>
    <definedName name="dynamic_axis_labels">OFFSET(Calculations!$B$2,0,0,years_before_money_runs_out,1)</definedName>
    <definedName name="dynamic_series">OFFSET(Calculations!$J$2,0,0,years_before_money_runs_out,1)</definedName>
    <definedName name="investment_return_post">Support!$B$6</definedName>
    <definedName name="investment_return_pre">Support!$B$5</definedName>
    <definedName name="retirement_age">Planner!$B$2</definedName>
    <definedName name="tax_rate">Planner!$B$13</definedName>
    <definedName name="years_before_money_runs_out">Support!$B$8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" l="1"/>
  <c r="E2" i="2"/>
  <c r="E3" i="2" s="1"/>
  <c r="E4" i="2" s="1"/>
  <c r="E5" i="2" s="1"/>
  <c r="E6" i="2" s="1"/>
  <c r="E7" i="2" s="1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E31" i="2" s="1"/>
  <c r="E32" i="2" s="1"/>
  <c r="E33" i="2" s="1"/>
  <c r="E34" i="2" s="1"/>
  <c r="E35" i="2" s="1"/>
  <c r="E36" i="2" s="1"/>
  <c r="E37" i="2" s="1"/>
  <c r="C2" i="2"/>
  <c r="D2" i="2" s="1"/>
  <c r="B2" i="2"/>
  <c r="A101" i="2"/>
  <c r="A94" i="2"/>
  <c r="A95" i="2"/>
  <c r="A96" i="2" s="1"/>
  <c r="A97" i="2" s="1"/>
  <c r="A98" i="2" s="1"/>
  <c r="A99" i="2" s="1"/>
  <c r="A100" i="2" s="1"/>
  <c r="A83" i="2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70" i="2"/>
  <c r="A71" i="2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55" i="2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45" i="2"/>
  <c r="A46" i="2"/>
  <c r="A47" i="2" s="1"/>
  <c r="A48" i="2" s="1"/>
  <c r="A49" i="2" s="1"/>
  <c r="A50" i="2" s="1"/>
  <c r="A51" i="2" s="1"/>
  <c r="A52" i="2" s="1"/>
  <c r="A53" i="2" s="1"/>
  <c r="A54" i="2" s="1"/>
  <c r="A34" i="2"/>
  <c r="A35" i="2"/>
  <c r="A36" i="2" s="1"/>
  <c r="A37" i="2" s="1"/>
  <c r="A38" i="2" s="1"/>
  <c r="A39" i="2" s="1"/>
  <c r="A40" i="2" s="1"/>
  <c r="A41" i="2" s="1"/>
  <c r="A42" i="2" s="1"/>
  <c r="A43" i="2" s="1"/>
  <c r="A44" i="2" s="1"/>
  <c r="A26" i="2"/>
  <c r="A27" i="2"/>
  <c r="A28" i="2" s="1"/>
  <c r="A29" i="2" s="1"/>
  <c r="A30" i="2" s="1"/>
  <c r="A31" i="2" s="1"/>
  <c r="A32" i="2" s="1"/>
  <c r="A33" i="2" s="1"/>
  <c r="A9" i="2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4" i="2"/>
  <c r="A5" i="2"/>
  <c r="A6" i="2"/>
  <c r="A7" i="2" s="1"/>
  <c r="A8" i="2" s="1"/>
  <c r="A3" i="2"/>
  <c r="B6" i="3"/>
  <c r="B5" i="3"/>
  <c r="F2" i="2" l="1"/>
  <c r="B3" i="2"/>
  <c r="I2" i="2"/>
  <c r="H2" i="2"/>
  <c r="E38" i="2"/>
  <c r="J2" i="2" l="1"/>
  <c r="I3" i="2"/>
  <c r="C3" i="2"/>
  <c r="B4" i="2"/>
  <c r="E39" i="2"/>
  <c r="G3" i="2" l="1"/>
  <c r="H3" i="2" s="1"/>
  <c r="K2" i="2"/>
  <c r="B5" i="2"/>
  <c r="I4" i="2"/>
  <c r="C4" i="2"/>
  <c r="D4" i="2" s="1"/>
  <c r="F4" i="2" s="1"/>
  <c r="D3" i="2"/>
  <c r="F3" i="2" s="1"/>
  <c r="E40" i="2"/>
  <c r="J3" i="2" l="1"/>
  <c r="B6" i="2"/>
  <c r="I5" i="2"/>
  <c r="C5" i="2"/>
  <c r="D5" i="2" s="1"/>
  <c r="F5" i="2" s="1"/>
  <c r="E41" i="2"/>
  <c r="G4" i="2" l="1"/>
  <c r="H4" i="2" s="1"/>
  <c r="J4" i="2" s="1"/>
  <c r="K4" i="2" s="1"/>
  <c r="K3" i="2"/>
  <c r="B7" i="2"/>
  <c r="I6" i="2"/>
  <c r="C6" i="2"/>
  <c r="D6" i="2" s="1"/>
  <c r="F6" i="2" s="1"/>
  <c r="E42" i="2"/>
  <c r="G5" i="2" l="1"/>
  <c r="H5" i="2" s="1"/>
  <c r="J5" i="2" s="1"/>
  <c r="G6" i="2" s="1"/>
  <c r="B8" i="2"/>
  <c r="I7" i="2"/>
  <c r="C7" i="2"/>
  <c r="D7" i="2" s="1"/>
  <c r="F7" i="2" s="1"/>
  <c r="E43" i="2"/>
  <c r="K5" i="2" l="1"/>
  <c r="B9" i="2"/>
  <c r="I8" i="2"/>
  <c r="C8" i="2"/>
  <c r="D8" i="2" s="1"/>
  <c r="F8" i="2" s="1"/>
  <c r="E44" i="2"/>
  <c r="H6" i="2"/>
  <c r="J6" i="2" s="1"/>
  <c r="B10" i="2" l="1"/>
  <c r="I9" i="2"/>
  <c r="C9" i="2"/>
  <c r="D9" i="2" s="1"/>
  <c r="F9" i="2" s="1"/>
  <c r="E45" i="2"/>
  <c r="K6" i="2"/>
  <c r="G7" i="2"/>
  <c r="B11" i="2" l="1"/>
  <c r="I10" i="2"/>
  <c r="C10" i="2"/>
  <c r="D10" i="2" s="1"/>
  <c r="F10" i="2" s="1"/>
  <c r="E46" i="2"/>
  <c r="H7" i="2"/>
  <c r="J7" i="2" s="1"/>
  <c r="K7" i="2" s="1"/>
  <c r="B12" i="2" l="1"/>
  <c r="I11" i="2"/>
  <c r="C11" i="2"/>
  <c r="D11" i="2" s="1"/>
  <c r="F11" i="2" s="1"/>
  <c r="E47" i="2"/>
  <c r="G8" i="2"/>
  <c r="B13" i="2" l="1"/>
  <c r="I12" i="2"/>
  <c r="C12" i="2"/>
  <c r="D12" i="2" s="1"/>
  <c r="F12" i="2" s="1"/>
  <c r="E48" i="2"/>
  <c r="H8" i="2"/>
  <c r="J8" i="2" s="1"/>
  <c r="K8" i="2" s="1"/>
  <c r="B14" i="2" l="1"/>
  <c r="I13" i="2"/>
  <c r="C13" i="2"/>
  <c r="D13" i="2" s="1"/>
  <c r="F13" i="2" s="1"/>
  <c r="E49" i="2"/>
  <c r="G9" i="2"/>
  <c r="B15" i="2" l="1"/>
  <c r="I14" i="2"/>
  <c r="C14" i="2"/>
  <c r="D14" i="2" s="1"/>
  <c r="F14" i="2" s="1"/>
  <c r="E50" i="2"/>
  <c r="H9" i="2"/>
  <c r="B16" i="2" l="1"/>
  <c r="I15" i="2"/>
  <c r="C15" i="2"/>
  <c r="D15" i="2" s="1"/>
  <c r="F15" i="2" s="1"/>
  <c r="E51" i="2"/>
  <c r="J9" i="2"/>
  <c r="B17" i="2" l="1"/>
  <c r="I16" i="2"/>
  <c r="C16" i="2"/>
  <c r="D16" i="2" s="1"/>
  <c r="F16" i="2" s="1"/>
  <c r="E52" i="2"/>
  <c r="G10" i="2"/>
  <c r="H10" i="2" s="1"/>
  <c r="J10" i="2" s="1"/>
  <c r="K9" i="2"/>
  <c r="B18" i="2" l="1"/>
  <c r="I17" i="2"/>
  <c r="C17" i="2"/>
  <c r="D17" i="2" s="1"/>
  <c r="F17" i="2" s="1"/>
  <c r="E53" i="2"/>
  <c r="G11" i="2"/>
  <c r="H11" i="2" s="1"/>
  <c r="J11" i="2" s="1"/>
  <c r="K11" i="2" s="1"/>
  <c r="K10" i="2"/>
  <c r="B19" i="2" l="1"/>
  <c r="I18" i="2"/>
  <c r="C18" i="2"/>
  <c r="D18" i="2" s="1"/>
  <c r="F18" i="2" s="1"/>
  <c r="E54" i="2"/>
  <c r="G12" i="2"/>
  <c r="B20" i="2" l="1"/>
  <c r="I19" i="2"/>
  <c r="C19" i="2"/>
  <c r="D19" i="2" s="1"/>
  <c r="F19" i="2" s="1"/>
  <c r="E55" i="2"/>
  <c r="H12" i="2"/>
  <c r="J12" i="2" s="1"/>
  <c r="K12" i="2" s="1"/>
  <c r="B21" i="2" l="1"/>
  <c r="I20" i="2"/>
  <c r="C20" i="2"/>
  <c r="D20" i="2" s="1"/>
  <c r="F20" i="2" s="1"/>
  <c r="E56" i="2"/>
  <c r="G13" i="2"/>
  <c r="B22" i="2" l="1"/>
  <c r="I21" i="2"/>
  <c r="C21" i="2"/>
  <c r="D21" i="2" s="1"/>
  <c r="F21" i="2" s="1"/>
  <c r="E57" i="2"/>
  <c r="H13" i="2"/>
  <c r="J13" i="2" s="1"/>
  <c r="B23" i="2" l="1"/>
  <c r="I22" i="2"/>
  <c r="C22" i="2"/>
  <c r="D22" i="2" s="1"/>
  <c r="F22" i="2" s="1"/>
  <c r="E58" i="2"/>
  <c r="G14" i="2"/>
  <c r="H14" i="2" s="1"/>
  <c r="J14" i="2" s="1"/>
  <c r="K14" i="2" s="1"/>
  <c r="K13" i="2"/>
  <c r="B24" i="2" l="1"/>
  <c r="I23" i="2"/>
  <c r="C23" i="2"/>
  <c r="D23" i="2" s="1"/>
  <c r="F23" i="2" s="1"/>
  <c r="E59" i="2"/>
  <c r="G15" i="2"/>
  <c r="B25" i="2" l="1"/>
  <c r="I24" i="2"/>
  <c r="C24" i="2"/>
  <c r="D24" i="2" s="1"/>
  <c r="F24" i="2" s="1"/>
  <c r="E60" i="2"/>
  <c r="H15" i="2"/>
  <c r="J15" i="2" s="1"/>
  <c r="K15" i="2" s="1"/>
  <c r="B26" i="2" l="1"/>
  <c r="I25" i="2"/>
  <c r="C25" i="2"/>
  <c r="D25" i="2" s="1"/>
  <c r="F25" i="2" s="1"/>
  <c r="E61" i="2"/>
  <c r="G16" i="2"/>
  <c r="B27" i="2" l="1"/>
  <c r="I26" i="2"/>
  <c r="C26" i="2"/>
  <c r="D26" i="2" s="1"/>
  <c r="F26" i="2" s="1"/>
  <c r="E62" i="2"/>
  <c r="H16" i="2"/>
  <c r="J16" i="2" s="1"/>
  <c r="K16" i="2" s="1"/>
  <c r="B28" i="2" l="1"/>
  <c r="I27" i="2"/>
  <c r="C27" i="2"/>
  <c r="D27" i="2" s="1"/>
  <c r="F27" i="2" s="1"/>
  <c r="E63" i="2"/>
  <c r="G17" i="2"/>
  <c r="B29" i="2" l="1"/>
  <c r="I28" i="2"/>
  <c r="C28" i="2"/>
  <c r="D28" i="2" s="1"/>
  <c r="F28" i="2" s="1"/>
  <c r="E64" i="2"/>
  <c r="H17" i="2"/>
  <c r="J17" i="2" s="1"/>
  <c r="K17" i="2" s="1"/>
  <c r="B30" i="2" l="1"/>
  <c r="I29" i="2"/>
  <c r="C29" i="2"/>
  <c r="D29" i="2" s="1"/>
  <c r="F29" i="2" s="1"/>
  <c r="E65" i="2"/>
  <c r="G18" i="2"/>
  <c r="B31" i="2" l="1"/>
  <c r="I30" i="2"/>
  <c r="C30" i="2"/>
  <c r="D30" i="2" s="1"/>
  <c r="F30" i="2" s="1"/>
  <c r="E66" i="2"/>
  <c r="H18" i="2"/>
  <c r="B32" i="2" l="1"/>
  <c r="I31" i="2"/>
  <c r="C31" i="2"/>
  <c r="E67" i="2"/>
  <c r="J18" i="2"/>
  <c r="B33" i="2" l="1"/>
  <c r="I32" i="2"/>
  <c r="C32" i="2"/>
  <c r="D31" i="2"/>
  <c r="F31" i="2" s="1"/>
  <c r="E68" i="2"/>
  <c r="G19" i="2"/>
  <c r="H19" i="2" s="1"/>
  <c r="K18" i="2"/>
  <c r="C33" i="2" l="1"/>
  <c r="D32" i="2"/>
  <c r="F32" i="2" s="1"/>
  <c r="B34" i="2"/>
  <c r="I33" i="2"/>
  <c r="E69" i="2"/>
  <c r="J19" i="2"/>
  <c r="C34" i="2" l="1"/>
  <c r="D33" i="2"/>
  <c r="F33" i="2" s="1"/>
  <c r="B35" i="2"/>
  <c r="I34" i="2"/>
  <c r="E70" i="2"/>
  <c r="G20" i="2"/>
  <c r="H20" i="2" s="1"/>
  <c r="J20" i="2" s="1"/>
  <c r="K19" i="2"/>
  <c r="B36" i="2" l="1"/>
  <c r="I35" i="2"/>
  <c r="C35" i="2"/>
  <c r="D34" i="2"/>
  <c r="F34" i="2" s="1"/>
  <c r="E71" i="2"/>
  <c r="G21" i="2"/>
  <c r="H21" i="2" s="1"/>
  <c r="J21" i="2" s="1"/>
  <c r="K20" i="2"/>
  <c r="C36" i="2" l="1"/>
  <c r="D36" i="2" s="1"/>
  <c r="F36" i="2" s="1"/>
  <c r="D35" i="2"/>
  <c r="F35" i="2" s="1"/>
  <c r="B37" i="2"/>
  <c r="I36" i="2"/>
  <c r="E72" i="2"/>
  <c r="G22" i="2"/>
  <c r="H22" i="2" s="1"/>
  <c r="J22" i="2" s="1"/>
  <c r="K21" i="2"/>
  <c r="B38" i="2" l="1"/>
  <c r="C37" i="2"/>
  <c r="D37" i="2" s="1"/>
  <c r="F37" i="2"/>
  <c r="I37" i="2"/>
  <c r="E73" i="2"/>
  <c r="G23" i="2"/>
  <c r="H23" i="2" s="1"/>
  <c r="J23" i="2" s="1"/>
  <c r="K22" i="2"/>
  <c r="B39" i="2" l="1"/>
  <c r="F38" i="2"/>
  <c r="C38" i="2"/>
  <c r="D38" i="2" s="1"/>
  <c r="I38" i="2"/>
  <c r="E74" i="2"/>
  <c r="G24" i="2"/>
  <c r="H24" i="2" s="1"/>
  <c r="J24" i="2" s="1"/>
  <c r="K23" i="2"/>
  <c r="B40" i="2" l="1"/>
  <c r="F39" i="2"/>
  <c r="C39" i="2"/>
  <c r="D39" i="2" s="1"/>
  <c r="I39" i="2"/>
  <c r="E75" i="2"/>
  <c r="G25" i="2"/>
  <c r="H25" i="2" s="1"/>
  <c r="J25" i="2" s="1"/>
  <c r="K25" i="2" s="1"/>
  <c r="K24" i="2"/>
  <c r="B41" i="2" l="1"/>
  <c r="F40" i="2"/>
  <c r="C40" i="2"/>
  <c r="D40" i="2" s="1"/>
  <c r="I40" i="2"/>
  <c r="E76" i="2"/>
  <c r="G26" i="2"/>
  <c r="B42" i="2" l="1"/>
  <c r="F41" i="2"/>
  <c r="C41" i="2"/>
  <c r="D41" i="2" s="1"/>
  <c r="I41" i="2"/>
  <c r="E77" i="2"/>
  <c r="H26" i="2"/>
  <c r="B43" i="2" l="1"/>
  <c r="C42" i="2"/>
  <c r="D42" i="2" s="1"/>
  <c r="F42" i="2"/>
  <c r="I42" i="2"/>
  <c r="E78" i="2"/>
  <c r="J26" i="2"/>
  <c r="B44" i="2" l="1"/>
  <c r="C43" i="2"/>
  <c r="D43" i="2" s="1"/>
  <c r="F43" i="2"/>
  <c r="I43" i="2"/>
  <c r="E79" i="2"/>
  <c r="G27" i="2"/>
  <c r="H27" i="2" s="1"/>
  <c r="J27" i="2" s="1"/>
  <c r="K26" i="2"/>
  <c r="B45" i="2" l="1"/>
  <c r="C44" i="2"/>
  <c r="D44" i="2" s="1"/>
  <c r="F44" i="2"/>
  <c r="I44" i="2"/>
  <c r="E80" i="2"/>
  <c r="G28" i="2"/>
  <c r="H28" i="2" s="1"/>
  <c r="J28" i="2" s="1"/>
  <c r="K28" i="2" s="1"/>
  <c r="K27" i="2"/>
  <c r="B46" i="2" l="1"/>
  <c r="C45" i="2"/>
  <c r="D45" i="2" s="1"/>
  <c r="F45" i="2"/>
  <c r="I45" i="2"/>
  <c r="E81" i="2"/>
  <c r="G29" i="2"/>
  <c r="B47" i="2" l="1"/>
  <c r="F46" i="2"/>
  <c r="C46" i="2"/>
  <c r="D46" i="2" s="1"/>
  <c r="I46" i="2"/>
  <c r="E82" i="2"/>
  <c r="H29" i="2"/>
  <c r="J29" i="2" s="1"/>
  <c r="K29" i="2" s="1"/>
  <c r="B48" i="2" l="1"/>
  <c r="F47" i="2"/>
  <c r="C47" i="2"/>
  <c r="D47" i="2" s="1"/>
  <c r="I47" i="2"/>
  <c r="E83" i="2"/>
  <c r="G30" i="2"/>
  <c r="B49" i="2" l="1"/>
  <c r="F48" i="2"/>
  <c r="C48" i="2"/>
  <c r="D48" i="2" s="1"/>
  <c r="I48" i="2"/>
  <c r="E84" i="2"/>
  <c r="H30" i="2"/>
  <c r="B50" i="2" l="1"/>
  <c r="F49" i="2"/>
  <c r="C49" i="2"/>
  <c r="D49" i="2" s="1"/>
  <c r="I49" i="2"/>
  <c r="E85" i="2"/>
  <c r="J30" i="2"/>
  <c r="B51" i="2" l="1"/>
  <c r="C50" i="2"/>
  <c r="D50" i="2" s="1"/>
  <c r="F50" i="2"/>
  <c r="I50" i="2"/>
  <c r="E86" i="2"/>
  <c r="G31" i="2"/>
  <c r="H31" i="2" s="1"/>
  <c r="J31" i="2" s="1"/>
  <c r="K30" i="2"/>
  <c r="B52" i="2" l="1"/>
  <c r="C51" i="2"/>
  <c r="D51" i="2" s="1"/>
  <c r="F51" i="2"/>
  <c r="I51" i="2"/>
  <c r="E87" i="2"/>
  <c r="G32" i="2"/>
  <c r="H32" i="2" s="1"/>
  <c r="J32" i="2" s="1"/>
  <c r="K32" i="2" s="1"/>
  <c r="K31" i="2"/>
  <c r="B53" i="2" l="1"/>
  <c r="C52" i="2"/>
  <c r="D52" i="2" s="1"/>
  <c r="F52" i="2"/>
  <c r="I52" i="2"/>
  <c r="E88" i="2"/>
  <c r="G33" i="2"/>
  <c r="B54" i="2" l="1"/>
  <c r="C53" i="2"/>
  <c r="D53" i="2" s="1"/>
  <c r="F53" i="2"/>
  <c r="I53" i="2"/>
  <c r="E89" i="2"/>
  <c r="H33" i="2"/>
  <c r="J33" i="2" s="1"/>
  <c r="K33" i="2" s="1"/>
  <c r="B55" i="2" l="1"/>
  <c r="F54" i="2"/>
  <c r="C54" i="2"/>
  <c r="D54" i="2" s="1"/>
  <c r="I54" i="2"/>
  <c r="E90" i="2"/>
  <c r="G34" i="2"/>
  <c r="B56" i="2" l="1"/>
  <c r="F55" i="2"/>
  <c r="C55" i="2"/>
  <c r="D55" i="2" s="1"/>
  <c r="I55" i="2"/>
  <c r="E91" i="2"/>
  <c r="H34" i="2"/>
  <c r="J34" i="2" s="1"/>
  <c r="K34" i="2" s="1"/>
  <c r="B57" i="2" l="1"/>
  <c r="F56" i="2"/>
  <c r="C56" i="2"/>
  <c r="D56" i="2" s="1"/>
  <c r="I56" i="2"/>
  <c r="E92" i="2"/>
  <c r="G35" i="2"/>
  <c r="B58" i="2" l="1"/>
  <c r="F57" i="2"/>
  <c r="C57" i="2"/>
  <c r="D57" i="2" s="1"/>
  <c r="I57" i="2"/>
  <c r="E93" i="2"/>
  <c r="H35" i="2"/>
  <c r="J35" i="2" s="1"/>
  <c r="K35" i="2" s="1"/>
  <c r="B59" i="2" l="1"/>
  <c r="C58" i="2"/>
  <c r="D58" i="2" s="1"/>
  <c r="F58" i="2"/>
  <c r="I58" i="2"/>
  <c r="E94" i="2"/>
  <c r="G36" i="2"/>
  <c r="B60" i="2" l="1"/>
  <c r="C59" i="2"/>
  <c r="D59" i="2" s="1"/>
  <c r="F59" i="2"/>
  <c r="I59" i="2"/>
  <c r="E95" i="2"/>
  <c r="H36" i="2"/>
  <c r="B61" i="2" l="1"/>
  <c r="C60" i="2"/>
  <c r="D60" i="2" s="1"/>
  <c r="F60" i="2"/>
  <c r="I60" i="2"/>
  <c r="E96" i="2"/>
  <c r="J36" i="2"/>
  <c r="B62" i="2" l="1"/>
  <c r="C61" i="2"/>
  <c r="D61" i="2" s="1"/>
  <c r="F61" i="2"/>
  <c r="I61" i="2"/>
  <c r="E97" i="2"/>
  <c r="G37" i="2"/>
  <c r="H37" i="2" s="1"/>
  <c r="J37" i="2" s="1"/>
  <c r="K36" i="2"/>
  <c r="B63" i="2" l="1"/>
  <c r="F62" i="2"/>
  <c r="C62" i="2"/>
  <c r="D62" i="2" s="1"/>
  <c r="I62" i="2"/>
  <c r="E98" i="2"/>
  <c r="G38" i="2"/>
  <c r="H38" i="2" s="1"/>
  <c r="J38" i="2" s="1"/>
  <c r="K38" i="2" s="1"/>
  <c r="K37" i="2"/>
  <c r="B64" i="2" l="1"/>
  <c r="F63" i="2"/>
  <c r="C63" i="2"/>
  <c r="D63" i="2" s="1"/>
  <c r="I63" i="2"/>
  <c r="E99" i="2"/>
  <c r="G39" i="2"/>
  <c r="B65" i="2" l="1"/>
  <c r="F64" i="2"/>
  <c r="C64" i="2"/>
  <c r="D64" i="2" s="1"/>
  <c r="I64" i="2"/>
  <c r="E100" i="2"/>
  <c r="H39" i="2"/>
  <c r="J39" i="2" s="1"/>
  <c r="K39" i="2" s="1"/>
  <c r="B66" i="2" l="1"/>
  <c r="F65" i="2"/>
  <c r="C65" i="2"/>
  <c r="D65" i="2" s="1"/>
  <c r="I65" i="2"/>
  <c r="E101" i="2"/>
  <c r="G40" i="2"/>
  <c r="B67" i="2" l="1"/>
  <c r="C66" i="2"/>
  <c r="D66" i="2" s="1"/>
  <c r="F66" i="2"/>
  <c r="I66" i="2"/>
  <c r="H40" i="2"/>
  <c r="J40" i="2" s="1"/>
  <c r="K40" i="2" s="1"/>
  <c r="B68" i="2" l="1"/>
  <c r="C67" i="2"/>
  <c r="D67" i="2" s="1"/>
  <c r="F67" i="2"/>
  <c r="I67" i="2"/>
  <c r="G41" i="2"/>
  <c r="B69" i="2" l="1"/>
  <c r="C68" i="2"/>
  <c r="D68" i="2" s="1"/>
  <c r="F68" i="2"/>
  <c r="I68" i="2"/>
  <c r="H41" i="2"/>
  <c r="J41" i="2" s="1"/>
  <c r="K41" i="2" s="1"/>
  <c r="B70" i="2" l="1"/>
  <c r="C69" i="2"/>
  <c r="D69" i="2" s="1"/>
  <c r="F69" i="2"/>
  <c r="I69" i="2"/>
  <c r="G42" i="2"/>
  <c r="B71" i="2" l="1"/>
  <c r="F70" i="2"/>
  <c r="C70" i="2"/>
  <c r="D70" i="2" s="1"/>
  <c r="I70" i="2"/>
  <c r="H42" i="2"/>
  <c r="J42" i="2" s="1"/>
  <c r="K42" i="2" s="1"/>
  <c r="B72" i="2" l="1"/>
  <c r="F71" i="2"/>
  <c r="C71" i="2"/>
  <c r="D71" i="2" s="1"/>
  <c r="I71" i="2"/>
  <c r="G43" i="2"/>
  <c r="B73" i="2" l="1"/>
  <c r="F72" i="2"/>
  <c r="C72" i="2"/>
  <c r="D72" i="2" s="1"/>
  <c r="I72" i="2"/>
  <c r="H43" i="2"/>
  <c r="J43" i="2" s="1"/>
  <c r="K43" i="2" s="1"/>
  <c r="B74" i="2" l="1"/>
  <c r="F73" i="2"/>
  <c r="C73" i="2"/>
  <c r="D73" i="2" s="1"/>
  <c r="I73" i="2"/>
  <c r="G44" i="2"/>
  <c r="B75" i="2" l="1"/>
  <c r="C74" i="2"/>
  <c r="D74" i="2" s="1"/>
  <c r="F74" i="2"/>
  <c r="I74" i="2"/>
  <c r="H44" i="2"/>
  <c r="J44" i="2" s="1"/>
  <c r="K44" i="2" s="1"/>
  <c r="B76" i="2" l="1"/>
  <c r="C75" i="2"/>
  <c r="D75" i="2" s="1"/>
  <c r="F75" i="2"/>
  <c r="I75" i="2"/>
  <c r="G45" i="2"/>
  <c r="B77" i="2" l="1"/>
  <c r="C76" i="2"/>
  <c r="D76" i="2" s="1"/>
  <c r="F76" i="2"/>
  <c r="I76" i="2"/>
  <c r="H45" i="2"/>
  <c r="J45" i="2" s="1"/>
  <c r="K45" i="2" s="1"/>
  <c r="B78" i="2" l="1"/>
  <c r="C77" i="2"/>
  <c r="D77" i="2" s="1"/>
  <c r="F77" i="2"/>
  <c r="I77" i="2"/>
  <c r="G46" i="2"/>
  <c r="B79" i="2" l="1"/>
  <c r="F78" i="2"/>
  <c r="C78" i="2"/>
  <c r="D78" i="2" s="1"/>
  <c r="I78" i="2"/>
  <c r="H46" i="2"/>
  <c r="J46" i="2" s="1"/>
  <c r="K46" i="2" s="1"/>
  <c r="B80" i="2" l="1"/>
  <c r="F79" i="2"/>
  <c r="C79" i="2"/>
  <c r="D79" i="2" s="1"/>
  <c r="I79" i="2"/>
  <c r="G47" i="2"/>
  <c r="B81" i="2" l="1"/>
  <c r="F80" i="2"/>
  <c r="C80" i="2"/>
  <c r="D80" i="2" s="1"/>
  <c r="I80" i="2"/>
  <c r="H47" i="2"/>
  <c r="B82" i="2" l="1"/>
  <c r="F81" i="2"/>
  <c r="C81" i="2"/>
  <c r="D81" i="2" s="1"/>
  <c r="I81" i="2"/>
  <c r="J47" i="2"/>
  <c r="B83" i="2" l="1"/>
  <c r="C82" i="2"/>
  <c r="D82" i="2" s="1"/>
  <c r="F82" i="2"/>
  <c r="I82" i="2"/>
  <c r="G48" i="2"/>
  <c r="H48" i="2" s="1"/>
  <c r="J48" i="2" s="1"/>
  <c r="K47" i="2"/>
  <c r="B84" i="2" l="1"/>
  <c r="C83" i="2"/>
  <c r="D83" i="2" s="1"/>
  <c r="F83" i="2"/>
  <c r="I83" i="2"/>
  <c r="G49" i="2"/>
  <c r="H49" i="2" s="1"/>
  <c r="J49" i="2" s="1"/>
  <c r="K49" i="2" s="1"/>
  <c r="K48" i="2"/>
  <c r="B85" i="2" l="1"/>
  <c r="C84" i="2"/>
  <c r="D84" i="2" s="1"/>
  <c r="F84" i="2"/>
  <c r="I84" i="2"/>
  <c r="G50" i="2"/>
  <c r="B86" i="2" l="1"/>
  <c r="C85" i="2"/>
  <c r="D85" i="2" s="1"/>
  <c r="F85" i="2"/>
  <c r="I85" i="2"/>
  <c r="H50" i="2"/>
  <c r="J50" i="2" s="1"/>
  <c r="K50" i="2" s="1"/>
  <c r="B87" i="2" l="1"/>
  <c r="F86" i="2"/>
  <c r="C86" i="2"/>
  <c r="D86" i="2" s="1"/>
  <c r="I86" i="2"/>
  <c r="G51" i="2"/>
  <c r="B88" i="2" l="1"/>
  <c r="F87" i="2"/>
  <c r="C87" i="2"/>
  <c r="D87" i="2" s="1"/>
  <c r="I87" i="2"/>
  <c r="H51" i="2"/>
  <c r="J51" i="2" s="1"/>
  <c r="K51" i="2" s="1"/>
  <c r="B89" i="2" l="1"/>
  <c r="F88" i="2"/>
  <c r="C88" i="2"/>
  <c r="D88" i="2" s="1"/>
  <c r="I88" i="2"/>
  <c r="G52" i="2"/>
  <c r="B90" i="2" l="1"/>
  <c r="F89" i="2"/>
  <c r="C89" i="2"/>
  <c r="D89" i="2" s="1"/>
  <c r="I89" i="2"/>
  <c r="H52" i="2"/>
  <c r="J52" i="2" s="1"/>
  <c r="K52" i="2" s="1"/>
  <c r="B91" i="2" l="1"/>
  <c r="C90" i="2"/>
  <c r="D90" i="2" s="1"/>
  <c r="F90" i="2"/>
  <c r="I90" i="2"/>
  <c r="G53" i="2"/>
  <c r="B92" i="2" l="1"/>
  <c r="C91" i="2"/>
  <c r="D91" i="2" s="1"/>
  <c r="F91" i="2"/>
  <c r="I91" i="2"/>
  <c r="H53" i="2"/>
  <c r="J53" i="2" s="1"/>
  <c r="K53" i="2" s="1"/>
  <c r="B93" i="2" l="1"/>
  <c r="C92" i="2"/>
  <c r="D92" i="2" s="1"/>
  <c r="F92" i="2"/>
  <c r="I92" i="2"/>
  <c r="G54" i="2"/>
  <c r="B94" i="2" l="1"/>
  <c r="C93" i="2"/>
  <c r="D93" i="2" s="1"/>
  <c r="F93" i="2"/>
  <c r="I93" i="2"/>
  <c r="H54" i="2"/>
  <c r="J54" i="2" s="1"/>
  <c r="K54" i="2" s="1"/>
  <c r="B95" i="2" l="1"/>
  <c r="F94" i="2"/>
  <c r="C94" i="2"/>
  <c r="D94" i="2" s="1"/>
  <c r="I94" i="2"/>
  <c r="G55" i="2"/>
  <c r="B96" i="2" l="1"/>
  <c r="F95" i="2"/>
  <c r="C95" i="2"/>
  <c r="D95" i="2" s="1"/>
  <c r="I95" i="2"/>
  <c r="H55" i="2"/>
  <c r="J55" i="2" s="1"/>
  <c r="K55" i="2" s="1"/>
  <c r="B97" i="2" l="1"/>
  <c r="F96" i="2"/>
  <c r="C96" i="2"/>
  <c r="D96" i="2" s="1"/>
  <c r="I96" i="2"/>
  <c r="G56" i="2"/>
  <c r="B98" i="2" l="1"/>
  <c r="F97" i="2"/>
  <c r="C97" i="2"/>
  <c r="D97" i="2" s="1"/>
  <c r="I97" i="2"/>
  <c r="H56" i="2"/>
  <c r="J56" i="2" s="1"/>
  <c r="K56" i="2" s="1"/>
  <c r="B99" i="2" l="1"/>
  <c r="C98" i="2"/>
  <c r="D98" i="2" s="1"/>
  <c r="F98" i="2"/>
  <c r="I98" i="2"/>
  <c r="G57" i="2"/>
  <c r="B100" i="2" l="1"/>
  <c r="C99" i="2"/>
  <c r="D99" i="2" s="1"/>
  <c r="F99" i="2"/>
  <c r="I99" i="2"/>
  <c r="H57" i="2"/>
  <c r="J57" i="2" s="1"/>
  <c r="K57" i="2" s="1"/>
  <c r="B101" i="2" l="1"/>
  <c r="C100" i="2"/>
  <c r="D100" i="2" s="1"/>
  <c r="F100" i="2"/>
  <c r="I100" i="2"/>
  <c r="G58" i="2"/>
  <c r="C101" i="2" l="1"/>
  <c r="D101" i="2" s="1"/>
  <c r="F101" i="2"/>
  <c r="I101" i="2"/>
  <c r="H58" i="2"/>
  <c r="J58" i="2" s="1"/>
  <c r="K58" i="2" s="1"/>
  <c r="G59" i="2" l="1"/>
  <c r="H59" i="2" l="1"/>
  <c r="J59" i="2" s="1"/>
  <c r="K59" i="2" s="1"/>
  <c r="G60" i="2" l="1"/>
  <c r="H60" i="2" l="1"/>
  <c r="J60" i="2" s="1"/>
  <c r="K60" i="2" s="1"/>
  <c r="G61" i="2" l="1"/>
  <c r="H61" i="2" l="1"/>
  <c r="J61" i="2" s="1"/>
  <c r="K61" i="2" s="1"/>
  <c r="G62" i="2" l="1"/>
  <c r="H62" i="2" l="1"/>
  <c r="J62" i="2" s="1"/>
  <c r="K62" i="2" s="1"/>
  <c r="G63" i="2" l="1"/>
  <c r="H63" i="2" l="1"/>
  <c r="J63" i="2" s="1"/>
  <c r="K63" i="2" s="1"/>
  <c r="G64" i="2" l="1"/>
  <c r="H64" i="2" l="1"/>
  <c r="J64" i="2" l="1"/>
  <c r="G65" i="2" l="1"/>
  <c r="H65" i="2" s="1"/>
  <c r="K64" i="2"/>
  <c r="J65" i="2" l="1"/>
  <c r="G66" i="2" l="1"/>
  <c r="H66" i="2" s="1"/>
  <c r="K65" i="2"/>
  <c r="J66" i="2" l="1"/>
  <c r="G67" i="2" l="1"/>
  <c r="H67" i="2" s="1"/>
  <c r="J67" i="2" s="1"/>
  <c r="K66" i="2"/>
  <c r="G68" i="2" l="1"/>
  <c r="H68" i="2" s="1"/>
  <c r="J68" i="2" s="1"/>
  <c r="K67" i="2"/>
  <c r="G69" i="2" l="1"/>
  <c r="H69" i="2" s="1"/>
  <c r="J69" i="2" s="1"/>
  <c r="K68" i="2"/>
  <c r="G70" i="2" l="1"/>
  <c r="H70" i="2" s="1"/>
  <c r="J70" i="2" s="1"/>
  <c r="K70" i="2" s="1"/>
  <c r="K69" i="2"/>
  <c r="G71" i="2" l="1"/>
  <c r="H71" i="2" l="1"/>
  <c r="J71" i="2" s="1"/>
  <c r="K71" i="2" s="1"/>
  <c r="G72" i="2" l="1"/>
  <c r="H72" i="2" l="1"/>
  <c r="J72" i="2" s="1"/>
  <c r="K72" i="2" s="1"/>
  <c r="G73" i="2" l="1"/>
  <c r="H73" i="2" l="1"/>
  <c r="J73" i="2" s="1"/>
  <c r="K73" i="2" s="1"/>
  <c r="G74" i="2" l="1"/>
  <c r="H74" i="2" l="1"/>
  <c r="J74" i="2" s="1"/>
  <c r="K74" i="2" s="1"/>
  <c r="G75" i="2" l="1"/>
  <c r="H75" i="2" l="1"/>
  <c r="J75" i="2" s="1"/>
  <c r="K75" i="2" s="1"/>
  <c r="G76" i="2" l="1"/>
  <c r="H76" i="2" l="1"/>
  <c r="J76" i="2" s="1"/>
  <c r="K76" i="2" s="1"/>
  <c r="G77" i="2" l="1"/>
  <c r="H77" i="2" l="1"/>
  <c r="J77" i="2" s="1"/>
  <c r="K77" i="2" s="1"/>
  <c r="G78" i="2" l="1"/>
  <c r="H78" i="2" l="1"/>
  <c r="J78" i="2" l="1"/>
  <c r="G79" i="2" l="1"/>
  <c r="H79" i="2" s="1"/>
  <c r="J79" i="2" s="1"/>
  <c r="K78" i="2"/>
  <c r="G80" i="2" l="1"/>
  <c r="H80" i="2" s="1"/>
  <c r="J80" i="2" s="1"/>
  <c r="K80" i="2" s="1"/>
  <c r="K79" i="2"/>
  <c r="G81" i="2" l="1"/>
  <c r="H81" i="2" l="1"/>
  <c r="J81" i="2" s="1"/>
  <c r="K81" i="2" s="1"/>
  <c r="G82" i="2" l="1"/>
  <c r="H82" i="2" l="1"/>
  <c r="J82" i="2" s="1"/>
  <c r="K82" i="2" s="1"/>
  <c r="G83" i="2" l="1"/>
  <c r="H83" i="2" l="1"/>
  <c r="J83" i="2" s="1"/>
  <c r="K83" i="2" s="1"/>
  <c r="G84" i="2" l="1"/>
  <c r="H84" i="2" l="1"/>
  <c r="J84" i="2" s="1"/>
  <c r="K84" i="2" s="1"/>
  <c r="G85" i="2" l="1"/>
  <c r="H85" i="2" l="1"/>
  <c r="J85" i="2" s="1"/>
  <c r="K85" i="2" s="1"/>
  <c r="G86" i="2" l="1"/>
  <c r="H86" i="2" l="1"/>
  <c r="J86" i="2" s="1"/>
  <c r="K86" i="2" s="1"/>
  <c r="G87" i="2" l="1"/>
  <c r="H87" i="2" l="1"/>
  <c r="J87" i="2" s="1"/>
  <c r="K87" i="2" s="1"/>
  <c r="G88" i="2" l="1"/>
  <c r="H88" i="2" l="1"/>
  <c r="J88" i="2" s="1"/>
  <c r="K88" i="2" s="1"/>
  <c r="G89" i="2" l="1"/>
  <c r="H89" i="2" l="1"/>
  <c r="J89" i="2" s="1"/>
  <c r="K89" i="2" s="1"/>
  <c r="G90" i="2" l="1"/>
  <c r="H90" i="2" l="1"/>
  <c r="J90" i="2" s="1"/>
  <c r="K90" i="2" s="1"/>
  <c r="G91" i="2" l="1"/>
  <c r="H91" i="2" l="1"/>
  <c r="J91" i="2" s="1"/>
  <c r="K91" i="2" s="1"/>
  <c r="G92" i="2" l="1"/>
  <c r="H92" i="2" l="1"/>
  <c r="J92" i="2" s="1"/>
  <c r="K92" i="2" s="1"/>
  <c r="G93" i="2" l="1"/>
  <c r="H93" i="2" l="1"/>
  <c r="J93" i="2" s="1"/>
  <c r="K93" i="2" s="1"/>
  <c r="G94" i="2" l="1"/>
  <c r="H94" i="2" l="1"/>
  <c r="J94" i="2" s="1"/>
  <c r="K94" i="2" s="1"/>
  <c r="G95" i="2" l="1"/>
  <c r="H95" i="2" l="1"/>
  <c r="J95" i="2" s="1"/>
  <c r="K95" i="2" s="1"/>
  <c r="G96" i="2" l="1"/>
  <c r="H96" i="2" l="1"/>
  <c r="J96" i="2" s="1"/>
  <c r="K96" i="2" s="1"/>
  <c r="G97" i="2" l="1"/>
  <c r="H97" i="2" l="1"/>
  <c r="J97" i="2" s="1"/>
  <c r="K97" i="2" s="1"/>
  <c r="G98" i="2" l="1"/>
  <c r="H98" i="2" l="1"/>
  <c r="J98" i="2" s="1"/>
  <c r="K98" i="2" s="1"/>
  <c r="G99" i="2" l="1"/>
  <c r="H99" i="2" l="1"/>
  <c r="J99" i="2" s="1"/>
  <c r="K99" i="2" s="1"/>
  <c r="G100" i="2" l="1"/>
  <c r="H100" i="2" l="1"/>
  <c r="J100" i="2" s="1"/>
  <c r="K100" i="2" s="1"/>
  <c r="G101" i="2" l="1"/>
  <c r="H101" i="2" l="1"/>
  <c r="J101" i="2" s="1"/>
  <c r="B8" i="3" s="1"/>
  <c r="B9" i="3" s="1"/>
  <c r="K101" i="2" l="1"/>
  <c r="D1" i="1" l="1"/>
  <c r="A3" i="4"/>
  <c r="I3" i="4"/>
  <c r="G4" i="4"/>
  <c r="E5" i="4"/>
  <c r="C6" i="4"/>
  <c r="A7" i="4"/>
  <c r="I7" i="4"/>
  <c r="G8" i="4"/>
  <c r="E9" i="4"/>
  <c r="C10" i="4"/>
  <c r="A11" i="4"/>
  <c r="I11" i="4"/>
  <c r="G12" i="4"/>
  <c r="E13" i="4"/>
  <c r="C14" i="4"/>
  <c r="A15" i="4"/>
  <c r="I15" i="4"/>
  <c r="G16" i="4"/>
  <c r="E17" i="4"/>
  <c r="C18" i="4"/>
  <c r="A19" i="4"/>
  <c r="I19" i="4"/>
  <c r="G20" i="4"/>
  <c r="E21" i="4"/>
  <c r="C22" i="4"/>
  <c r="A23" i="4"/>
  <c r="I23" i="4"/>
  <c r="G24" i="4"/>
  <c r="E25" i="4"/>
  <c r="C26" i="4"/>
  <c r="A27" i="4"/>
  <c r="I27" i="4"/>
  <c r="G28" i="4"/>
  <c r="E29" i="4"/>
  <c r="C30" i="4"/>
  <c r="A31" i="4"/>
  <c r="I31" i="4"/>
  <c r="G32" i="4"/>
  <c r="E33" i="4"/>
  <c r="C34" i="4"/>
  <c r="A35" i="4"/>
  <c r="I35" i="4"/>
  <c r="G36" i="4"/>
  <c r="E37" i="4"/>
  <c r="C38" i="4"/>
  <c r="A39" i="4"/>
  <c r="I39" i="4"/>
  <c r="G40" i="4"/>
  <c r="E41" i="4"/>
  <c r="C42" i="4"/>
  <c r="A43" i="4"/>
  <c r="I43" i="4"/>
  <c r="G44" i="4"/>
  <c r="E45" i="4"/>
  <c r="C46" i="4"/>
  <c r="A47" i="4"/>
  <c r="I47" i="4"/>
  <c r="G48" i="4"/>
  <c r="E49" i="4"/>
  <c r="C50" i="4"/>
  <c r="A51" i="4"/>
  <c r="I51" i="4"/>
  <c r="G52" i="4"/>
  <c r="E53" i="4"/>
  <c r="C54" i="4"/>
  <c r="A55" i="4"/>
  <c r="I55" i="4"/>
  <c r="G56" i="4"/>
  <c r="E57" i="4"/>
  <c r="C58" i="4"/>
  <c r="A59" i="4"/>
  <c r="I59" i="4"/>
  <c r="G60" i="4"/>
  <c r="E61" i="4"/>
  <c r="C62" i="4"/>
  <c r="A63" i="4"/>
  <c r="I63" i="4"/>
  <c r="G64" i="4"/>
  <c r="E65" i="4"/>
  <c r="C66" i="4"/>
  <c r="A67" i="4"/>
  <c r="I67" i="4"/>
  <c r="G68" i="4"/>
  <c r="B3" i="4"/>
  <c r="J3" i="4"/>
  <c r="H4" i="4"/>
  <c r="F5" i="4"/>
  <c r="D6" i="4"/>
  <c r="B7" i="4"/>
  <c r="J7" i="4"/>
  <c r="H8" i="4"/>
  <c r="F9" i="4"/>
  <c r="D10" i="4"/>
  <c r="B11" i="4"/>
  <c r="J11" i="4"/>
  <c r="H12" i="4"/>
  <c r="F13" i="4"/>
  <c r="D14" i="4"/>
  <c r="B15" i="4"/>
  <c r="J15" i="4"/>
  <c r="H16" i="4"/>
  <c r="F17" i="4"/>
  <c r="D18" i="4"/>
  <c r="B19" i="4"/>
  <c r="J19" i="4"/>
  <c r="H20" i="4"/>
  <c r="F21" i="4"/>
  <c r="D22" i="4"/>
  <c r="B23" i="4"/>
  <c r="J23" i="4"/>
  <c r="H24" i="4"/>
  <c r="F25" i="4"/>
  <c r="D26" i="4"/>
  <c r="B27" i="4"/>
  <c r="J27" i="4"/>
  <c r="H28" i="4"/>
  <c r="F29" i="4"/>
  <c r="D30" i="4"/>
  <c r="B31" i="4"/>
  <c r="J31" i="4"/>
  <c r="H32" i="4"/>
  <c r="F33" i="4"/>
  <c r="D34" i="4"/>
  <c r="B35" i="4"/>
  <c r="J35" i="4"/>
  <c r="H36" i="4"/>
  <c r="F37" i="4"/>
  <c r="D38" i="4"/>
  <c r="B39" i="4"/>
  <c r="J39" i="4"/>
  <c r="H40" i="4"/>
  <c r="F41" i="4"/>
  <c r="D42" i="4"/>
  <c r="B43" i="4"/>
  <c r="J43" i="4"/>
  <c r="H44" i="4"/>
  <c r="F45" i="4"/>
  <c r="D46" i="4"/>
  <c r="B47" i="4"/>
  <c r="J47" i="4"/>
  <c r="H48" i="4"/>
  <c r="F49" i="4"/>
  <c r="D50" i="4"/>
  <c r="B51" i="4"/>
  <c r="J51" i="4"/>
  <c r="H52" i="4"/>
  <c r="F53" i="4"/>
  <c r="D54" i="4"/>
  <c r="B55" i="4"/>
  <c r="J55" i="4"/>
  <c r="H56" i="4"/>
  <c r="F57" i="4"/>
  <c r="D58" i="4"/>
  <c r="B59" i="4"/>
  <c r="J59" i="4"/>
  <c r="H60" i="4"/>
  <c r="F61" i="4"/>
  <c r="D62" i="4"/>
  <c r="B63" i="4"/>
  <c r="J63" i="4"/>
  <c r="H64" i="4"/>
  <c r="F65" i="4"/>
  <c r="D66" i="4"/>
  <c r="B67" i="4"/>
  <c r="J67" i="4"/>
  <c r="H68" i="4"/>
  <c r="F69" i="4"/>
  <c r="D70" i="4"/>
  <c r="C3" i="4"/>
  <c r="A4" i="4"/>
  <c r="I4" i="4"/>
  <c r="G5" i="4"/>
  <c r="E6" i="4"/>
  <c r="C7" i="4"/>
  <c r="A8" i="4"/>
  <c r="I8" i="4"/>
  <c r="G9" i="4"/>
  <c r="E10" i="4"/>
  <c r="C11" i="4"/>
  <c r="A12" i="4"/>
  <c r="I12" i="4"/>
  <c r="G13" i="4"/>
  <c r="E14" i="4"/>
  <c r="C15" i="4"/>
  <c r="A16" i="4"/>
  <c r="I16" i="4"/>
  <c r="G17" i="4"/>
  <c r="E18" i="4"/>
  <c r="C19" i="4"/>
  <c r="A20" i="4"/>
  <c r="I20" i="4"/>
  <c r="G21" i="4"/>
  <c r="E22" i="4"/>
  <c r="C23" i="4"/>
  <c r="A24" i="4"/>
  <c r="I24" i="4"/>
  <c r="G25" i="4"/>
  <c r="E26" i="4"/>
  <c r="C27" i="4"/>
  <c r="A28" i="4"/>
  <c r="I28" i="4"/>
  <c r="G29" i="4"/>
  <c r="E30" i="4"/>
  <c r="C31" i="4"/>
  <c r="A32" i="4"/>
  <c r="I32" i="4"/>
  <c r="G33" i="4"/>
  <c r="E34" i="4"/>
  <c r="C35" i="4"/>
  <c r="A36" i="4"/>
  <c r="I36" i="4"/>
  <c r="G37" i="4"/>
  <c r="E38" i="4"/>
  <c r="C39" i="4"/>
  <c r="A40" i="4"/>
  <c r="I40" i="4"/>
  <c r="G41" i="4"/>
  <c r="E42" i="4"/>
  <c r="C43" i="4"/>
  <c r="A44" i="4"/>
  <c r="I44" i="4"/>
  <c r="G45" i="4"/>
  <c r="E46" i="4"/>
  <c r="C47" i="4"/>
  <c r="A48" i="4"/>
  <c r="I48" i="4"/>
  <c r="G49" i="4"/>
  <c r="E50" i="4"/>
  <c r="C51" i="4"/>
  <c r="A52" i="4"/>
  <c r="I52" i="4"/>
  <c r="G53" i="4"/>
  <c r="E54" i="4"/>
  <c r="C55" i="4"/>
  <c r="A56" i="4"/>
  <c r="I56" i="4"/>
  <c r="G57" i="4"/>
  <c r="E58" i="4"/>
  <c r="C59" i="4"/>
  <c r="A60" i="4"/>
  <c r="I60" i="4"/>
  <c r="G61" i="4"/>
  <c r="E62" i="4"/>
  <c r="C63" i="4"/>
  <c r="A64" i="4"/>
  <c r="I64" i="4"/>
  <c r="G65" i="4"/>
  <c r="E66" i="4"/>
  <c r="C67" i="4"/>
  <c r="A68" i="4"/>
  <c r="I68" i="4"/>
  <c r="G69" i="4"/>
  <c r="E70" i="4"/>
  <c r="D3" i="4"/>
  <c r="B4" i="4"/>
  <c r="J4" i="4"/>
  <c r="H5" i="4"/>
  <c r="F6" i="4"/>
  <c r="D7" i="4"/>
  <c r="B8" i="4"/>
  <c r="J8" i="4"/>
  <c r="H9" i="4"/>
  <c r="F10" i="4"/>
  <c r="D11" i="4"/>
  <c r="B12" i="4"/>
  <c r="J12" i="4"/>
  <c r="H13" i="4"/>
  <c r="F14" i="4"/>
  <c r="D15" i="4"/>
  <c r="B16" i="4"/>
  <c r="J16" i="4"/>
  <c r="H17" i="4"/>
  <c r="F18" i="4"/>
  <c r="D19" i="4"/>
  <c r="B20" i="4"/>
  <c r="J20" i="4"/>
  <c r="H21" i="4"/>
  <c r="F22" i="4"/>
  <c r="D23" i="4"/>
  <c r="B24" i="4"/>
  <c r="J24" i="4"/>
  <c r="H25" i="4"/>
  <c r="F26" i="4"/>
  <c r="D27" i="4"/>
  <c r="B28" i="4"/>
  <c r="J28" i="4"/>
  <c r="H29" i="4"/>
  <c r="F30" i="4"/>
  <c r="D31" i="4"/>
  <c r="B32" i="4"/>
  <c r="J32" i="4"/>
  <c r="H33" i="4"/>
  <c r="F34" i="4"/>
  <c r="D35" i="4"/>
  <c r="B36" i="4"/>
  <c r="J36" i="4"/>
  <c r="H37" i="4"/>
  <c r="F38" i="4"/>
  <c r="D39" i="4"/>
  <c r="B40" i="4"/>
  <c r="J40" i="4"/>
  <c r="H41" i="4"/>
  <c r="F42" i="4"/>
  <c r="D43" i="4"/>
  <c r="B44" i="4"/>
  <c r="J44" i="4"/>
  <c r="H45" i="4"/>
  <c r="F46" i="4"/>
  <c r="D47" i="4"/>
  <c r="B48" i="4"/>
  <c r="J48" i="4"/>
  <c r="H49" i="4"/>
  <c r="F50" i="4"/>
  <c r="D51" i="4"/>
  <c r="B52" i="4"/>
  <c r="J52" i="4"/>
  <c r="H53" i="4"/>
  <c r="F54" i="4"/>
  <c r="D55" i="4"/>
  <c r="B56" i="4"/>
  <c r="J56" i="4"/>
  <c r="H57" i="4"/>
  <c r="F58" i="4"/>
  <c r="D59" i="4"/>
  <c r="B60" i="4"/>
  <c r="J60" i="4"/>
  <c r="H61" i="4"/>
  <c r="F62" i="4"/>
  <c r="D63" i="4"/>
  <c r="B64" i="4"/>
  <c r="J64" i="4"/>
  <c r="H65" i="4"/>
  <c r="F66" i="4"/>
  <c r="D67" i="4"/>
  <c r="B68" i="4"/>
  <c r="J68" i="4"/>
  <c r="H69" i="4"/>
  <c r="F70" i="4"/>
  <c r="E3" i="4"/>
  <c r="C4" i="4"/>
  <c r="A5" i="4"/>
  <c r="I5" i="4"/>
  <c r="G6" i="4"/>
  <c r="E7" i="4"/>
  <c r="C8" i="4"/>
  <c r="A9" i="4"/>
  <c r="I9" i="4"/>
  <c r="G10" i="4"/>
  <c r="E11" i="4"/>
  <c r="C12" i="4"/>
  <c r="A13" i="4"/>
  <c r="I13" i="4"/>
  <c r="G14" i="4"/>
  <c r="E15" i="4"/>
  <c r="C16" i="4"/>
  <c r="A17" i="4"/>
  <c r="I17" i="4"/>
  <c r="G18" i="4"/>
  <c r="E19" i="4"/>
  <c r="C20" i="4"/>
  <c r="A21" i="4"/>
  <c r="I21" i="4"/>
  <c r="G22" i="4"/>
  <c r="E23" i="4"/>
  <c r="C24" i="4"/>
  <c r="A25" i="4"/>
  <c r="I25" i="4"/>
  <c r="G26" i="4"/>
  <c r="E27" i="4"/>
  <c r="C28" i="4"/>
  <c r="A29" i="4"/>
  <c r="I29" i="4"/>
  <c r="G30" i="4"/>
  <c r="E31" i="4"/>
  <c r="C32" i="4"/>
  <c r="A33" i="4"/>
  <c r="I33" i="4"/>
  <c r="G34" i="4"/>
  <c r="E35" i="4"/>
  <c r="C36" i="4"/>
  <c r="A37" i="4"/>
  <c r="I37" i="4"/>
  <c r="G38" i="4"/>
  <c r="E39" i="4"/>
  <c r="C40" i="4"/>
  <c r="A41" i="4"/>
  <c r="I41" i="4"/>
  <c r="G42" i="4"/>
  <c r="E43" i="4"/>
  <c r="C44" i="4"/>
  <c r="A45" i="4"/>
  <c r="I45" i="4"/>
  <c r="G46" i="4"/>
  <c r="E47" i="4"/>
  <c r="C48" i="4"/>
  <c r="A49" i="4"/>
  <c r="I49" i="4"/>
  <c r="G50" i="4"/>
  <c r="E51" i="4"/>
  <c r="C52" i="4"/>
  <c r="A53" i="4"/>
  <c r="I53" i="4"/>
  <c r="G54" i="4"/>
  <c r="E55" i="4"/>
  <c r="C56" i="4"/>
  <c r="A57" i="4"/>
  <c r="I57" i="4"/>
  <c r="G58" i="4"/>
  <c r="E59" i="4"/>
  <c r="C60" i="4"/>
  <c r="A61" i="4"/>
  <c r="I61" i="4"/>
  <c r="G62" i="4"/>
  <c r="E63" i="4"/>
  <c r="F3" i="4"/>
  <c r="D4" i="4"/>
  <c r="B5" i="4"/>
  <c r="J5" i="4"/>
  <c r="H6" i="4"/>
  <c r="F7" i="4"/>
  <c r="D8" i="4"/>
  <c r="B9" i="4"/>
  <c r="J9" i="4"/>
  <c r="H10" i="4"/>
  <c r="F11" i="4"/>
  <c r="D12" i="4"/>
  <c r="B13" i="4"/>
  <c r="J13" i="4"/>
  <c r="H14" i="4"/>
  <c r="F15" i="4"/>
  <c r="D16" i="4"/>
  <c r="B17" i="4"/>
  <c r="J17" i="4"/>
  <c r="H18" i="4"/>
  <c r="F19" i="4"/>
  <c r="D20" i="4"/>
  <c r="B21" i="4"/>
  <c r="J21" i="4"/>
  <c r="H22" i="4"/>
  <c r="F23" i="4"/>
  <c r="D24" i="4"/>
  <c r="B25" i="4"/>
  <c r="J25" i="4"/>
  <c r="H26" i="4"/>
  <c r="F27" i="4"/>
  <c r="D28" i="4"/>
  <c r="B29" i="4"/>
  <c r="J29" i="4"/>
  <c r="H30" i="4"/>
  <c r="F31" i="4"/>
  <c r="D32" i="4"/>
  <c r="B33" i="4"/>
  <c r="J33" i="4"/>
  <c r="H34" i="4"/>
  <c r="F35" i="4"/>
  <c r="D36" i="4"/>
  <c r="B37" i="4"/>
  <c r="J37" i="4"/>
  <c r="H38" i="4"/>
  <c r="F39" i="4"/>
  <c r="D40" i="4"/>
  <c r="B41" i="4"/>
  <c r="J41" i="4"/>
  <c r="H42" i="4"/>
  <c r="F43" i="4"/>
  <c r="D44" i="4"/>
  <c r="B45" i="4"/>
  <c r="J45" i="4"/>
  <c r="H46" i="4"/>
  <c r="F47" i="4"/>
  <c r="D48" i="4"/>
  <c r="B49" i="4"/>
  <c r="J49" i="4"/>
  <c r="H50" i="4"/>
  <c r="F51" i="4"/>
  <c r="D52" i="4"/>
  <c r="B53" i="4"/>
  <c r="J53" i="4"/>
  <c r="H54" i="4"/>
  <c r="F55" i="4"/>
  <c r="D56" i="4"/>
  <c r="B57" i="4"/>
  <c r="J57" i="4"/>
  <c r="H58" i="4"/>
  <c r="F59" i="4"/>
  <c r="D60" i="4"/>
  <c r="B61" i="4"/>
  <c r="J61" i="4"/>
  <c r="H62" i="4"/>
  <c r="F63" i="4"/>
  <c r="D64" i="4"/>
  <c r="B65" i="4"/>
  <c r="J65" i="4"/>
  <c r="H66" i="4"/>
  <c r="F67" i="4"/>
  <c r="D68" i="4"/>
  <c r="B69" i="4"/>
  <c r="J69" i="4"/>
  <c r="H70" i="4"/>
  <c r="G3" i="4"/>
  <c r="I6" i="4"/>
  <c r="A10" i="4"/>
  <c r="C13" i="4"/>
  <c r="E16" i="4"/>
  <c r="G19" i="4"/>
  <c r="I22" i="4"/>
  <c r="A26" i="4"/>
  <c r="C29" i="4"/>
  <c r="E32" i="4"/>
  <c r="G35" i="4"/>
  <c r="I38" i="4"/>
  <c r="A42" i="4"/>
  <c r="C45" i="4"/>
  <c r="E48" i="4"/>
  <c r="G51" i="4"/>
  <c r="I54" i="4"/>
  <c r="A58" i="4"/>
  <c r="C61" i="4"/>
  <c r="C64" i="4"/>
  <c r="B66" i="4"/>
  <c r="E68" i="4"/>
  <c r="B70" i="4"/>
  <c r="D71" i="4"/>
  <c r="B72" i="4"/>
  <c r="J72" i="4"/>
  <c r="H73" i="4"/>
  <c r="F74" i="4"/>
  <c r="D75" i="4"/>
  <c r="B76" i="4"/>
  <c r="J76" i="4"/>
  <c r="H77" i="4"/>
  <c r="F78" i="4"/>
  <c r="D79" i="4"/>
  <c r="B80" i="4"/>
  <c r="J80" i="4"/>
  <c r="H81" i="4"/>
  <c r="F82" i="4"/>
  <c r="D83" i="4"/>
  <c r="B84" i="4"/>
  <c r="J84" i="4"/>
  <c r="H85" i="4"/>
  <c r="F86" i="4"/>
  <c r="D87" i="4"/>
  <c r="B88" i="4"/>
  <c r="J88" i="4"/>
  <c r="H89" i="4"/>
  <c r="F90" i="4"/>
  <c r="D91" i="4"/>
  <c r="B92" i="4"/>
  <c r="J92" i="4"/>
  <c r="H93" i="4"/>
  <c r="F94" i="4"/>
  <c r="D95" i="4"/>
  <c r="B96" i="4"/>
  <c r="J96" i="4"/>
  <c r="H97" i="4"/>
  <c r="F98" i="4"/>
  <c r="D99" i="4"/>
  <c r="B100" i="4"/>
  <c r="J100" i="4"/>
  <c r="H101" i="4"/>
  <c r="G2" i="4"/>
  <c r="G94" i="4"/>
  <c r="C96" i="4"/>
  <c r="I97" i="4"/>
  <c r="G98" i="4"/>
  <c r="C100" i="4"/>
  <c r="I101" i="4"/>
  <c r="H3" i="4"/>
  <c r="J6" i="4"/>
  <c r="B10" i="4"/>
  <c r="D13" i="4"/>
  <c r="F16" i="4"/>
  <c r="H19" i="4"/>
  <c r="J22" i="4"/>
  <c r="B26" i="4"/>
  <c r="D29" i="4"/>
  <c r="F32" i="4"/>
  <c r="H35" i="4"/>
  <c r="J38" i="4"/>
  <c r="B42" i="4"/>
  <c r="D45" i="4"/>
  <c r="F48" i="4"/>
  <c r="H51" i="4"/>
  <c r="J54" i="4"/>
  <c r="B58" i="4"/>
  <c r="D61" i="4"/>
  <c r="E64" i="4"/>
  <c r="G66" i="4"/>
  <c r="F68" i="4"/>
  <c r="C70" i="4"/>
  <c r="E71" i="4"/>
  <c r="C72" i="4"/>
  <c r="A73" i="4"/>
  <c r="I73" i="4"/>
  <c r="G74" i="4"/>
  <c r="E75" i="4"/>
  <c r="C76" i="4"/>
  <c r="A77" i="4"/>
  <c r="I77" i="4"/>
  <c r="G78" i="4"/>
  <c r="E79" i="4"/>
  <c r="C80" i="4"/>
  <c r="A81" i="4"/>
  <c r="I81" i="4"/>
  <c r="G82" i="4"/>
  <c r="E83" i="4"/>
  <c r="C84" i="4"/>
  <c r="A85" i="4"/>
  <c r="I85" i="4"/>
  <c r="G86" i="4"/>
  <c r="E87" i="4"/>
  <c r="C88" i="4"/>
  <c r="A89" i="4"/>
  <c r="I89" i="4"/>
  <c r="G90" i="4"/>
  <c r="E91" i="4"/>
  <c r="C92" i="4"/>
  <c r="A93" i="4"/>
  <c r="I93" i="4"/>
  <c r="E95" i="4"/>
  <c r="A97" i="4"/>
  <c r="E99" i="4"/>
  <c r="A101" i="4"/>
  <c r="H2" i="4"/>
  <c r="E4" i="4"/>
  <c r="G7" i="4"/>
  <c r="I10" i="4"/>
  <c r="A14" i="4"/>
  <c r="C17" i="4"/>
  <c r="E20" i="4"/>
  <c r="G23" i="4"/>
  <c r="I26" i="4"/>
  <c r="A30" i="4"/>
  <c r="C33" i="4"/>
  <c r="E36" i="4"/>
  <c r="G39" i="4"/>
  <c r="I42" i="4"/>
  <c r="A46" i="4"/>
  <c r="C49" i="4"/>
  <c r="E52" i="4"/>
  <c r="G55" i="4"/>
  <c r="I58" i="4"/>
  <c r="A62" i="4"/>
  <c r="F64" i="4"/>
  <c r="I66" i="4"/>
  <c r="A69" i="4"/>
  <c r="G70" i="4"/>
  <c r="F71" i="4"/>
  <c r="D72" i="4"/>
  <c r="B73" i="4"/>
  <c r="J73" i="4"/>
  <c r="H74" i="4"/>
  <c r="F75" i="4"/>
  <c r="D76" i="4"/>
  <c r="B77" i="4"/>
  <c r="J77" i="4"/>
  <c r="H78" i="4"/>
  <c r="F79" i="4"/>
  <c r="D80" i="4"/>
  <c r="B81" i="4"/>
  <c r="J81" i="4"/>
  <c r="H82" i="4"/>
  <c r="F83" i="4"/>
  <c r="D84" i="4"/>
  <c r="B85" i="4"/>
  <c r="J85" i="4"/>
  <c r="H86" i="4"/>
  <c r="F87" i="4"/>
  <c r="D88" i="4"/>
  <c r="B89" i="4"/>
  <c r="J89" i="4"/>
  <c r="H90" i="4"/>
  <c r="F91" i="4"/>
  <c r="D92" i="4"/>
  <c r="B93" i="4"/>
  <c r="J93" i="4"/>
  <c r="H94" i="4"/>
  <c r="F95" i="4"/>
  <c r="D96" i="4"/>
  <c r="B97" i="4"/>
  <c r="J97" i="4"/>
  <c r="H98" i="4"/>
  <c r="F99" i="4"/>
  <c r="D100" i="4"/>
  <c r="B101" i="4"/>
  <c r="J101" i="4"/>
  <c r="I2" i="4"/>
  <c r="A98" i="4"/>
  <c r="G99" i="4"/>
  <c r="C101" i="4"/>
  <c r="J2" i="4"/>
  <c r="D97" i="4"/>
  <c r="H99" i="4"/>
  <c r="C2" i="4"/>
  <c r="I95" i="4"/>
  <c r="C98" i="4"/>
  <c r="E101" i="4"/>
  <c r="E98" i="4"/>
  <c r="G101" i="4"/>
  <c r="F4" i="4"/>
  <c r="H7" i="4"/>
  <c r="J10" i="4"/>
  <c r="B14" i="4"/>
  <c r="D17" i="4"/>
  <c r="F20" i="4"/>
  <c r="H23" i="4"/>
  <c r="J26" i="4"/>
  <c r="B30" i="4"/>
  <c r="D33" i="4"/>
  <c r="F36" i="4"/>
  <c r="H39" i="4"/>
  <c r="J42" i="4"/>
  <c r="B46" i="4"/>
  <c r="D49" i="4"/>
  <c r="F52" i="4"/>
  <c r="H55" i="4"/>
  <c r="J58" i="4"/>
  <c r="B62" i="4"/>
  <c r="A65" i="4"/>
  <c r="J66" i="4"/>
  <c r="C69" i="4"/>
  <c r="I70" i="4"/>
  <c r="G71" i="4"/>
  <c r="E72" i="4"/>
  <c r="C73" i="4"/>
  <c r="A74" i="4"/>
  <c r="I74" i="4"/>
  <c r="G75" i="4"/>
  <c r="E76" i="4"/>
  <c r="C77" i="4"/>
  <c r="A78" i="4"/>
  <c r="I78" i="4"/>
  <c r="G79" i="4"/>
  <c r="E80" i="4"/>
  <c r="C81" i="4"/>
  <c r="A82" i="4"/>
  <c r="I82" i="4"/>
  <c r="G83" i="4"/>
  <c r="E84" i="4"/>
  <c r="C85" i="4"/>
  <c r="A86" i="4"/>
  <c r="I86" i="4"/>
  <c r="G87" i="4"/>
  <c r="E88" i="4"/>
  <c r="C89" i="4"/>
  <c r="A90" i="4"/>
  <c r="I90" i="4"/>
  <c r="G91" i="4"/>
  <c r="E92" i="4"/>
  <c r="C93" i="4"/>
  <c r="A94" i="4"/>
  <c r="I94" i="4"/>
  <c r="G95" i="4"/>
  <c r="E96" i="4"/>
  <c r="C97" i="4"/>
  <c r="I98" i="4"/>
  <c r="E100" i="4"/>
  <c r="B2" i="4"/>
  <c r="J98" i="4"/>
  <c r="D101" i="4"/>
  <c r="G96" i="4"/>
  <c r="I99" i="4"/>
  <c r="D2" i="4"/>
  <c r="A100" i="4"/>
  <c r="C5" i="4"/>
  <c r="E8" i="4"/>
  <c r="G11" i="4"/>
  <c r="I14" i="4"/>
  <c r="A18" i="4"/>
  <c r="C21" i="4"/>
  <c r="E24" i="4"/>
  <c r="G27" i="4"/>
  <c r="I30" i="4"/>
  <c r="A34" i="4"/>
  <c r="C37" i="4"/>
  <c r="E40" i="4"/>
  <c r="G43" i="4"/>
  <c r="I46" i="4"/>
  <c r="A50" i="4"/>
  <c r="C53" i="4"/>
  <c r="E56" i="4"/>
  <c r="G59" i="4"/>
  <c r="I62" i="4"/>
  <c r="C65" i="4"/>
  <c r="E67" i="4"/>
  <c r="D69" i="4"/>
  <c r="J70" i="4"/>
  <c r="H71" i="4"/>
  <c r="F72" i="4"/>
  <c r="D73" i="4"/>
  <c r="B74" i="4"/>
  <c r="J74" i="4"/>
  <c r="H75" i="4"/>
  <c r="F76" i="4"/>
  <c r="D77" i="4"/>
  <c r="B78" i="4"/>
  <c r="J78" i="4"/>
  <c r="H79" i="4"/>
  <c r="F80" i="4"/>
  <c r="D81" i="4"/>
  <c r="B82" i="4"/>
  <c r="J82" i="4"/>
  <c r="H83" i="4"/>
  <c r="F84" i="4"/>
  <c r="D85" i="4"/>
  <c r="B86" i="4"/>
  <c r="J86" i="4"/>
  <c r="H87" i="4"/>
  <c r="F88" i="4"/>
  <c r="D89" i="4"/>
  <c r="B90" i="4"/>
  <c r="J90" i="4"/>
  <c r="H91" i="4"/>
  <c r="F92" i="4"/>
  <c r="D93" i="4"/>
  <c r="B94" i="4"/>
  <c r="J94" i="4"/>
  <c r="H95" i="4"/>
  <c r="F96" i="4"/>
  <c r="B98" i="4"/>
  <c r="F100" i="4"/>
  <c r="A2" i="4"/>
  <c r="A99" i="4"/>
  <c r="C99" i="4"/>
  <c r="D5" i="4"/>
  <c r="F8" i="4"/>
  <c r="H11" i="4"/>
  <c r="J14" i="4"/>
  <c r="B18" i="4"/>
  <c r="D21" i="4"/>
  <c r="F24" i="4"/>
  <c r="H27" i="4"/>
  <c r="J30" i="4"/>
  <c r="B34" i="4"/>
  <c r="D37" i="4"/>
  <c r="F40" i="4"/>
  <c r="H43" i="4"/>
  <c r="J46" i="4"/>
  <c r="B50" i="4"/>
  <c r="D53" i="4"/>
  <c r="F56" i="4"/>
  <c r="H59" i="4"/>
  <c r="J62" i="4"/>
  <c r="D65" i="4"/>
  <c r="G67" i="4"/>
  <c r="E69" i="4"/>
  <c r="A71" i="4"/>
  <c r="I71" i="4"/>
  <c r="G72" i="4"/>
  <c r="E73" i="4"/>
  <c r="C74" i="4"/>
  <c r="A75" i="4"/>
  <c r="I75" i="4"/>
  <c r="G76" i="4"/>
  <c r="E77" i="4"/>
  <c r="C78" i="4"/>
  <c r="A79" i="4"/>
  <c r="I79" i="4"/>
  <c r="G80" i="4"/>
  <c r="E81" i="4"/>
  <c r="C82" i="4"/>
  <c r="A83" i="4"/>
  <c r="I83" i="4"/>
  <c r="G84" i="4"/>
  <c r="E85" i="4"/>
  <c r="C86" i="4"/>
  <c r="A87" i="4"/>
  <c r="I87" i="4"/>
  <c r="G88" i="4"/>
  <c r="E89" i="4"/>
  <c r="C90" i="4"/>
  <c r="A91" i="4"/>
  <c r="I91" i="4"/>
  <c r="G92" i="4"/>
  <c r="E93" i="4"/>
  <c r="C94" i="4"/>
  <c r="A95" i="4"/>
  <c r="E97" i="4"/>
  <c r="G100" i="4"/>
  <c r="I100" i="4"/>
  <c r="A6" i="4"/>
  <c r="C9" i="4"/>
  <c r="E12" i="4"/>
  <c r="G15" i="4"/>
  <c r="I18" i="4"/>
  <c r="A22" i="4"/>
  <c r="C25" i="4"/>
  <c r="E28" i="4"/>
  <c r="G31" i="4"/>
  <c r="I34" i="4"/>
  <c r="A38" i="4"/>
  <c r="C41" i="4"/>
  <c r="E44" i="4"/>
  <c r="G47" i="4"/>
  <c r="I50" i="4"/>
  <c r="A54" i="4"/>
  <c r="C57" i="4"/>
  <c r="E60" i="4"/>
  <c r="G63" i="4"/>
  <c r="I65" i="4"/>
  <c r="H67" i="4"/>
  <c r="I69" i="4"/>
  <c r="B71" i="4"/>
  <c r="J71" i="4"/>
  <c r="H72" i="4"/>
  <c r="F73" i="4"/>
  <c r="D74" i="4"/>
  <c r="B75" i="4"/>
  <c r="J75" i="4"/>
  <c r="H76" i="4"/>
  <c r="F77" i="4"/>
  <c r="D78" i="4"/>
  <c r="B79" i="4"/>
  <c r="J79" i="4"/>
  <c r="H80" i="4"/>
  <c r="F81" i="4"/>
  <c r="D82" i="4"/>
  <c r="B83" i="4"/>
  <c r="J83" i="4"/>
  <c r="H84" i="4"/>
  <c r="F85" i="4"/>
  <c r="D86" i="4"/>
  <c r="B87" i="4"/>
  <c r="J87" i="4"/>
  <c r="H88" i="4"/>
  <c r="F89" i="4"/>
  <c r="D90" i="4"/>
  <c r="B91" i="4"/>
  <c r="J91" i="4"/>
  <c r="H92" i="4"/>
  <c r="F93" i="4"/>
  <c r="D94" i="4"/>
  <c r="B95" i="4"/>
  <c r="J95" i="4"/>
  <c r="H96" i="4"/>
  <c r="F97" i="4"/>
  <c r="D98" i="4"/>
  <c r="B99" i="4"/>
  <c r="J99" i="4"/>
  <c r="H100" i="4"/>
  <c r="F101" i="4"/>
  <c r="E2" i="4"/>
  <c r="G97" i="4"/>
  <c r="B6" i="4"/>
  <c r="D9" i="4"/>
  <c r="F12" i="4"/>
  <c r="H15" i="4"/>
  <c r="J18" i="4"/>
  <c r="B22" i="4"/>
  <c r="D25" i="4"/>
  <c r="F28" i="4"/>
  <c r="H31" i="4"/>
  <c r="J34" i="4"/>
  <c r="B38" i="4"/>
  <c r="D41" i="4"/>
  <c r="F44" i="4"/>
  <c r="H47" i="4"/>
  <c r="J50" i="4"/>
  <c r="B54" i="4"/>
  <c r="D57" i="4"/>
  <c r="F60" i="4"/>
  <c r="H63" i="4"/>
  <c r="A66" i="4"/>
  <c r="C68" i="4"/>
  <c r="A70" i="4"/>
  <c r="C71" i="4"/>
  <c r="A72" i="4"/>
  <c r="I72" i="4"/>
  <c r="G73" i="4"/>
  <c r="E74" i="4"/>
  <c r="C75" i="4"/>
  <c r="A76" i="4"/>
  <c r="I76" i="4"/>
  <c r="G77" i="4"/>
  <c r="E78" i="4"/>
  <c r="C79" i="4"/>
  <c r="A80" i="4"/>
  <c r="I80" i="4"/>
  <c r="G81" i="4"/>
  <c r="E82" i="4"/>
  <c r="C83" i="4"/>
  <c r="A84" i="4"/>
  <c r="I84" i="4"/>
  <c r="G85" i="4"/>
  <c r="E86" i="4"/>
  <c r="C87" i="4"/>
  <c r="A88" i="4"/>
  <c r="I88" i="4"/>
  <c r="G89" i="4"/>
  <c r="E90" i="4"/>
  <c r="C91" i="4"/>
  <c r="A92" i="4"/>
  <c r="I92" i="4"/>
  <c r="G93" i="4"/>
  <c r="E94" i="4"/>
  <c r="C95" i="4"/>
  <c r="A96" i="4"/>
  <c r="I96" i="4"/>
  <c r="F2" i="4"/>
</calcChain>
</file>

<file path=xl/sharedStrings.xml><?xml version="1.0" encoding="utf-8"?>
<sst xmlns="http://schemas.openxmlformats.org/spreadsheetml/2006/main" count="42" uniqueCount="30">
  <si>
    <t>Age</t>
  </si>
  <si>
    <t>Annual Income Increase</t>
  </si>
  <si>
    <t>Plan Year</t>
  </si>
  <si>
    <t>Working Income</t>
  </si>
  <si>
    <t>Earned Interest</t>
  </si>
  <si>
    <t>End Savings Balance</t>
  </si>
  <si>
    <t>Yearly Savings</t>
  </si>
  <si>
    <t>Yearly Expenditures</t>
  </si>
  <si>
    <t>Overall Net Gain/Loss</t>
  </si>
  <si>
    <t>Income Tax</t>
  </si>
  <si>
    <t>Retirement Savings Withdrawl</t>
  </si>
  <si>
    <t>Current Age</t>
  </si>
  <si>
    <t>Current Annual Income</t>
  </si>
  <si>
    <t>Current Annual Expenses</t>
  </si>
  <si>
    <t>Current Retirement Savings</t>
  </si>
  <si>
    <t>Economic Assumptions</t>
  </si>
  <si>
    <t>Annual Inflation</t>
  </si>
  <si>
    <t>Desired Retirement Age</t>
  </si>
  <si>
    <t>Current Information</t>
  </si>
  <si>
    <t>Risk Tolerance (Pre-Retirement)</t>
  </si>
  <si>
    <t>Risk Tolerance (Post-Retirement)</t>
  </si>
  <si>
    <t>Conservative (Est. 4% Annual Return)</t>
  </si>
  <si>
    <t>Tax Rate</t>
  </si>
  <si>
    <t>Beginning Savings Balance</t>
  </si>
  <si>
    <t>Moderate  (Est. 6% Annual Return)</t>
  </si>
  <si>
    <t>Aggressive  (Est. 8% Annual Return)</t>
  </si>
  <si>
    <t>Pre-Retirement Investment Return</t>
  </si>
  <si>
    <t>Post-Retirement Investment Return</t>
  </si>
  <si>
    <t>Years Before Money Runs Out</t>
  </si>
  <si>
    <t>Age When Money Runs 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</si>
</sst>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[$$-409]#,##0.00"/>
  </numFmts>
  <fonts count="12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4"/>
      <color rgb="FF3F3F76"/>
      <name val="Calibri"/>
      <family val="2"/>
      <scheme val="minor"/>
    </font>
    <font>
      <sz val="14"/>
      <color rgb="FFFA7D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8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ck">
        <color theme="4" tint="0.499984740745262"/>
      </top>
      <bottom style="thick">
        <color theme="4" tint="0.499984740745262"/>
      </bottom>
      <diagonal/>
    </border>
    <border>
      <left/>
      <right/>
      <top style="thin">
        <color rgb="FF7F7F7F"/>
      </top>
      <bottom style="thick">
        <color theme="4" tint="0.499984740745262"/>
      </bottom>
      <diagonal/>
    </border>
    <border>
      <left/>
      <right/>
      <top/>
      <bottom style="thick">
        <color theme="4"/>
      </bottom>
      <diagonal/>
    </border>
  </borders>
  <cellStyleXfs count="7">
    <xf numFmtId="0" fontId="0" fillId="0" borderId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2" borderId="3" applyNumberFormat="0" applyAlignment="0" applyProtection="0"/>
    <xf numFmtId="0" fontId="8" fillId="0" borderId="4" applyNumberFormat="0" applyFill="0" applyAlignment="0" applyProtection="0"/>
    <xf numFmtId="9" fontId="9" fillId="0" borderId="0" applyFont="0" applyFill="0" applyBorder="0" applyAlignment="0" applyProtection="0"/>
    <xf numFmtId="0" fontId="11" fillId="0" borderId="7" applyNumberFormat="0" applyFill="0" applyAlignment="0" applyProtection="0"/>
  </cellStyleXfs>
  <cellXfs count="24">
    <xf numFmtId="0" fontId="0" fillId="0" borderId="0" xfId="0"/>
    <xf numFmtId="0" fontId="4" fillId="0" borderId="0" xfId="0" applyFont="1"/>
    <xf numFmtId="0" fontId="3" fillId="0" borderId="0" xfId="0" applyFont="1"/>
    <xf numFmtId="0" fontId="2" fillId="0" borderId="0" xfId="0" applyFont="1"/>
    <xf numFmtId="1" fontId="7" fillId="2" borderId="3" xfId="3" applyNumberFormat="1"/>
    <xf numFmtId="164" fontId="7" fillId="2" borderId="3" xfId="3" applyNumberFormat="1"/>
    <xf numFmtId="9" fontId="7" fillId="2" borderId="3" xfId="3" applyNumberFormat="1"/>
    <xf numFmtId="0" fontId="8" fillId="0" borderId="4" xfId="4"/>
    <xf numFmtId="0" fontId="6" fillId="0" borderId="2" xfId="2"/>
    <xf numFmtId="9" fontId="3" fillId="0" borderId="0" xfId="0" applyNumberFormat="1" applyFont="1"/>
    <xf numFmtId="9" fontId="3" fillId="0" borderId="0" xfId="5" applyFont="1"/>
    <xf numFmtId="9" fontId="1" fillId="0" borderId="0" xfId="5" applyFont="1"/>
    <xf numFmtId="0" fontId="10" fillId="0" borderId="0" xfId="0" applyFont="1"/>
    <xf numFmtId="165" fontId="10" fillId="0" borderId="0" xfId="0" applyNumberFormat="1" applyFont="1"/>
    <xf numFmtId="165" fontId="3" fillId="0" borderId="0" xfId="0" applyNumberFormat="1" applyFont="1"/>
    <xf numFmtId="165" fontId="0" fillId="0" borderId="0" xfId="0" applyNumberFormat="1"/>
    <xf numFmtId="4" fontId="10" fillId="0" borderId="0" xfId="0" applyNumberFormat="1" applyFont="1"/>
    <xf numFmtId="4" fontId="3" fillId="0" borderId="0" xfId="0" applyNumberFormat="1" applyFont="1"/>
    <xf numFmtId="4" fontId="0" fillId="0" borderId="0" xfId="0" applyNumberFormat="1"/>
    <xf numFmtId="0" fontId="11" fillId="3" borderId="7" xfId="6" applyFill="1" applyAlignment="1">
      <alignment horizontal="center"/>
    </xf>
    <xf numFmtId="0" fontId="7" fillId="2" borderId="3" xfId="3" applyAlignment="1">
      <alignment horizontal="center"/>
    </xf>
    <xf numFmtId="0" fontId="5" fillId="2" borderId="5" xfId="1" applyFill="1" applyBorder="1" applyAlignment="1">
      <alignment horizontal="center"/>
    </xf>
    <xf numFmtId="0" fontId="5" fillId="0" borderId="1" xfId="1" applyAlignment="1">
      <alignment horizontal="center"/>
    </xf>
    <xf numFmtId="0" fontId="5" fillId="0" borderId="6" xfId="1" applyBorder="1" applyAlignment="1">
      <alignment horizontal="center"/>
    </xf>
  </cellXfs>
  <cellStyles count="7">
    <cellStyle name="Heading 1" xfId="6" builtinId="16"/>
    <cellStyle name="Heading 2" xfId="1" builtinId="17"/>
    <cellStyle name="Heading 3" xfId="2" builtinId="18"/>
    <cellStyle name="Input" xfId="3" builtinId="20"/>
    <cellStyle name="Linked Cell" xfId="4" builtinId="24"/>
    <cellStyle name="Normal" xfId="0" builtinId="0"/>
    <cellStyle name="Percent" xfId="5" builtinId="5"/>
  </cellStyles>
  <dxfs count="1">
    <dxf>
      <font>
        <b val="0"/>
        <i val="0"/>
        <color rgb="FFFF0000"/>
      </font>
      <border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Projected Retirement Savings</c:v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[0]!dynamic_axis_labels</c:f>
              <c:numCache>
                <c:formatCode>General</c:formatCode>
                <c:ptCount val="49"/>
                <c:pt idx="0">
                  <c:v>35</c:v>
                </c:pt>
                <c:pt idx="1">
                  <c:v>36</c:v>
                </c:pt>
                <c:pt idx="2">
                  <c:v>37</c:v>
                </c:pt>
                <c:pt idx="3">
                  <c:v>38</c:v>
                </c:pt>
                <c:pt idx="4">
                  <c:v>39</c:v>
                </c:pt>
                <c:pt idx="5">
                  <c:v>40</c:v>
                </c:pt>
                <c:pt idx="6">
                  <c:v>41</c:v>
                </c:pt>
                <c:pt idx="7">
                  <c:v>42</c:v>
                </c:pt>
                <c:pt idx="8">
                  <c:v>43</c:v>
                </c:pt>
                <c:pt idx="9">
                  <c:v>44</c:v>
                </c:pt>
                <c:pt idx="10">
                  <c:v>45</c:v>
                </c:pt>
                <c:pt idx="11">
                  <c:v>46</c:v>
                </c:pt>
                <c:pt idx="12">
                  <c:v>47</c:v>
                </c:pt>
                <c:pt idx="13">
                  <c:v>48</c:v>
                </c:pt>
                <c:pt idx="14">
                  <c:v>49</c:v>
                </c:pt>
                <c:pt idx="15">
                  <c:v>50</c:v>
                </c:pt>
                <c:pt idx="16">
                  <c:v>51</c:v>
                </c:pt>
                <c:pt idx="17">
                  <c:v>52</c:v>
                </c:pt>
                <c:pt idx="18">
                  <c:v>53</c:v>
                </c:pt>
                <c:pt idx="19">
                  <c:v>54</c:v>
                </c:pt>
                <c:pt idx="20">
                  <c:v>55</c:v>
                </c:pt>
                <c:pt idx="21">
                  <c:v>56</c:v>
                </c:pt>
                <c:pt idx="22">
                  <c:v>57</c:v>
                </c:pt>
                <c:pt idx="23">
                  <c:v>58</c:v>
                </c:pt>
                <c:pt idx="24">
                  <c:v>59</c:v>
                </c:pt>
                <c:pt idx="25">
                  <c:v>60</c:v>
                </c:pt>
                <c:pt idx="26">
                  <c:v>61</c:v>
                </c:pt>
                <c:pt idx="27">
                  <c:v>62</c:v>
                </c:pt>
                <c:pt idx="28">
                  <c:v>63</c:v>
                </c:pt>
                <c:pt idx="29">
                  <c:v>64</c:v>
                </c:pt>
                <c:pt idx="30">
                  <c:v>65</c:v>
                </c:pt>
                <c:pt idx="31">
                  <c:v>66</c:v>
                </c:pt>
                <c:pt idx="32">
                  <c:v>67</c:v>
                </c:pt>
                <c:pt idx="33">
                  <c:v>68</c:v>
                </c:pt>
                <c:pt idx="34">
                  <c:v>69</c:v>
                </c:pt>
                <c:pt idx="35">
                  <c:v>70</c:v>
                </c:pt>
                <c:pt idx="36">
                  <c:v>71</c:v>
                </c:pt>
                <c:pt idx="37">
                  <c:v>72</c:v>
                </c:pt>
                <c:pt idx="38">
                  <c:v>73</c:v>
                </c:pt>
                <c:pt idx="39">
                  <c:v>74</c:v>
                </c:pt>
                <c:pt idx="40">
                  <c:v>75</c:v>
                </c:pt>
                <c:pt idx="41">
                  <c:v>76</c:v>
                </c:pt>
                <c:pt idx="42">
                  <c:v>77</c:v>
                </c:pt>
                <c:pt idx="43">
                  <c:v>78</c:v>
                </c:pt>
                <c:pt idx="44">
                  <c:v>79</c:v>
                </c:pt>
                <c:pt idx="45">
                  <c:v>80</c:v>
                </c:pt>
                <c:pt idx="46">
                  <c:v>81</c:v>
                </c:pt>
                <c:pt idx="47">
                  <c:v>82</c:v>
                </c:pt>
                <c:pt idx="48">
                  <c:v>83</c:v>
                </c:pt>
              </c:numCache>
            </c:numRef>
          </c:cat>
          <c:val>
            <c:numRef>
              <c:f>[0]!dynamic_series</c:f>
              <c:numCache>
                <c:formatCode>[$$-409]#,##0.00</c:formatCode>
                <c:ptCount val="49"/>
                <c:pt idx="0">
                  <c:v>40800</c:v>
                </c:pt>
                <c:pt idx="1">
                  <c:v>52866</c:v>
                </c:pt>
                <c:pt idx="2">
                  <c:v>66295.5</c:v>
                </c:pt>
                <c:pt idx="3">
                  <c:v>81192.179400000008</c:v>
                </c:pt>
                <c:pt idx="4">
                  <c:v>97666.247502000013</c:v>
                </c:pt>
                <c:pt idx="5">
                  <c:v>115834.81252962</c:v>
                </c:pt>
                <c:pt idx="6">
                  <c:v>135822.2700968814</c:v>
                </c:pt>
                <c:pt idx="7">
                  <c:v>157760.71210291437</c:v>
                </c:pt>
                <c:pt idx="8">
                  <c:v>181790.35707671614</c:v>
                </c:pt>
                <c:pt idx="9">
                  <c:v>208060.00304568183</c:v>
                </c:pt>
                <c:pt idx="10">
                  <c:v>236727.50405356518</c:v>
                </c:pt>
                <c:pt idx="11">
                  <c:v>267960.27150791098</c:v>
                </c:pt>
                <c:pt idx="12">
                  <c:v>301935.80159394472</c:v>
                </c:pt>
                <c:pt idx="13">
                  <c:v>338842.2300515293</c:v>
                </c:pt>
                <c:pt idx="14">
                  <c:v>378878.91567422351</c:v>
                </c:pt>
                <c:pt idx="15">
                  <c:v>422257.05395483563</c:v>
                </c:pt>
                <c:pt idx="16">
                  <c:v>469200.32237028831</c:v>
                </c:pt>
                <c:pt idx="17">
                  <c:v>519945.5588702439</c:v>
                </c:pt>
                <c:pt idx="18">
                  <c:v>574743.47520892578</c:v>
                </c:pt>
                <c:pt idx="19">
                  <c:v>633859.40683806781</c:v>
                </c:pt>
                <c:pt idx="20">
                  <c:v>697574.10116109159</c:v>
                </c:pt>
                <c:pt idx="21">
                  <c:v>766184.5460346177</c:v>
                </c:pt>
                <c:pt idx="22">
                  <c:v>840004.84049343725</c:v>
                </c:pt>
                <c:pt idx="23">
                  <c:v>919367.1097692945</c:v>
                </c:pt>
                <c:pt idx="24">
                  <c:v>1004622.4667724377</c:v>
                </c:pt>
                <c:pt idx="25">
                  <c:v>1096142.0223081086</c:v>
                </c:pt>
                <c:pt idx="26">
                  <c:v>1194317.9464081419</c:v>
                </c:pt>
                <c:pt idx="27">
                  <c:v>1299564.5832708795</c:v>
                </c:pt>
                <c:pt idx="28">
                  <c:v>1412319.6224208896</c:v>
                </c:pt>
                <c:pt idx="29">
                  <c:v>1533045.328823749</c:v>
                </c:pt>
                <c:pt idx="30">
                  <c:v>1515801.2373496392</c:v>
                </c:pt>
                <c:pt idx="31">
                  <c:v>1494245.6960509769</c:v>
                </c:pt>
                <c:pt idx="32">
                  <c:v>1468021.7138082054</c:v>
                </c:pt>
                <c:pt idx="33">
                  <c:v>1436747.930910693</c:v>
                </c:pt>
                <c:pt idx="34">
                  <c:v>1400017.0684675497</c:v>
                </c:pt>
                <c:pt idx="35">
                  <c:v>1357394.2821288842</c:v>
                </c:pt>
                <c:pt idx="36">
                  <c:v>1308415.4142964971</c:v>
                </c:pt>
                <c:pt idx="37">
                  <c:v>1252585.1386513633</c:v>
                </c:pt>
                <c:pt idx="38">
                  <c:v>1189374.9904524337</c:v>
                </c:pt>
                <c:pt idx="39">
                  <c:v>1118221.275666028</c:v>
                </c:pt>
                <c:pt idx="40">
                  <c:v>1038522.8515660313</c:v>
                </c:pt>
                <c:pt idx="41">
                  <c:v>949638.77100083616</c:v>
                </c:pt>
                <c:pt idx="42">
                  <c:v>850885.78205195465</c:v>
                </c:pt>
                <c:pt idx="43">
                  <c:v>741535.67430987221</c:v>
                </c:pt>
                <c:pt idx="44">
                  <c:v>620812.46246330882</c:v>
                </c:pt>
                <c:pt idx="45">
                  <c:v>487889.39733679703</c:v>
                </c:pt>
                <c:pt idx="46">
                  <c:v>341885.79391646513</c:v>
                </c:pt>
                <c:pt idx="47">
                  <c:v>181863.66527309717</c:v>
                </c:pt>
                <c:pt idx="48">
                  <c:v>6824.1506227764767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50-4779-95A8-0867814D73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4077823"/>
        <c:axId val="1064734127"/>
      </c:lineChart>
      <c:catAx>
        <c:axId val="1084077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734127"/>
        <c:crossesAt val="0"/>
        <c:auto val="1"/>
        <c:lblAlgn val="ctr"/>
        <c:lblOffset val="100"/>
        <c:tickLblSkip val="5"/>
        <c:noMultiLvlLbl val="0"/>
      </c:catAx>
      <c:valAx>
        <c:axId val="106473412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[$$-4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077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trlProps/ctrlProp1.xml><?xml version="1.0" encoding="utf-8"?>
<formControlPr xmlns="http://schemas.microsoft.com/office/spreadsheetml/2009/9/main" objectType="Scroll" dx="26" fmlaLink="$B$2" horiz="1" max="70" min="40" page="10" val="65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2</xdr:row>
      <xdr:rowOff>3810</xdr:rowOff>
    </xdr:from>
    <xdr:to>
      <xdr:col>14</xdr:col>
      <xdr:colOff>586740</xdr:colOff>
      <xdr:row>19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2F7818-3F17-B997-82A7-106EAA21EB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22860</xdr:colOff>
          <xdr:row>1</xdr:row>
          <xdr:rowOff>15240</xdr:rowOff>
        </xdr:from>
        <xdr:to>
          <xdr:col>0</xdr:col>
          <xdr:colOff>2727960</xdr:colOff>
          <xdr:row>1</xdr:row>
          <xdr:rowOff>205740</xdr:rowOff>
        </xdr:to>
        <xdr:sp macro="" textlink="">
          <xdr:nvSpPr>
            <xdr:cNvPr id="1035" name="Scroll Bar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T25"/>
  <sheetViews>
    <sheetView showGridLines="0" tabSelected="1" workbookViewId="0">
      <selection activeCell="A16" sqref="A16:B16"/>
    </sheetView>
  </sheetViews>
  <sheetFormatPr defaultRowHeight="14.4" x14ac:dyDescent="0.3"/>
  <cols>
    <col min="1" max="1" width="40.33203125" customWidth="1"/>
    <col min="2" max="2" width="15.44140625" bestFit="1" customWidth="1"/>
    <col min="7" max="7" width="41.6640625" customWidth="1"/>
  </cols>
  <sheetData>
    <row r="1" spans="1:20" ht="20.399999999999999" thickBot="1" x14ac:dyDescent="0.45">
      <c r="A1" s="22" t="s">
        <v>17</v>
      </c>
      <c r="B1" s="22"/>
      <c r="C1" s="2"/>
      <c r="D1" s="19" t="str">
        <f>IF(years_before_money_runs_out&gt;=100, "Enjoy your long retirement", "You will run out of money at "&amp;age_when_money_runs_out&amp;" years.")</f>
        <v>You will run out of money at 84 years.</v>
      </c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2"/>
      <c r="Q1" s="2"/>
      <c r="R1" s="2"/>
      <c r="S1" s="2"/>
      <c r="T1" s="2"/>
    </row>
    <row r="2" spans="1:20" ht="19.2" thickTop="1" thickBot="1" x14ac:dyDescent="0.4">
      <c r="A2" s="2"/>
      <c r="B2" s="7">
        <v>65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spans="1:20" ht="18.600000000000001" thickTop="1" x14ac:dyDescent="0.3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spans="1:20" ht="17.55" customHeight="1" thickBot="1" x14ac:dyDescent="0.4">
      <c r="A4" s="22" t="s">
        <v>18</v>
      </c>
      <c r="B4" s="2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spans="1:20" ht="19.2" thickTop="1" thickBot="1" x14ac:dyDescent="0.4">
      <c r="A5" s="8" t="s">
        <v>11</v>
      </c>
      <c r="B5" s="4">
        <v>35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spans="1:20" ht="18.600000000000001" thickBot="1" x14ac:dyDescent="0.4">
      <c r="A6" s="8" t="s">
        <v>12</v>
      </c>
      <c r="B6" s="5">
        <v>70000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</row>
    <row r="7" spans="1:20" ht="18.600000000000001" thickBot="1" x14ac:dyDescent="0.4">
      <c r="A7" s="8" t="s">
        <v>13</v>
      </c>
      <c r="B7" s="5">
        <v>45000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spans="1:20" ht="18.600000000000001" thickBot="1" x14ac:dyDescent="0.4">
      <c r="A8" s="8" t="s">
        <v>14</v>
      </c>
      <c r="B8" s="5">
        <v>30000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</row>
    <row r="9" spans="1:20" ht="14.55" customHeight="1" x14ac:dyDescent="0.3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spans="1:20" ht="18.600000000000001" thickBot="1" x14ac:dyDescent="0.4">
      <c r="A10" s="22" t="s">
        <v>15</v>
      </c>
      <c r="B10" s="2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 spans="1:20" ht="19.2" thickTop="1" thickBot="1" x14ac:dyDescent="0.4">
      <c r="A11" s="8" t="s">
        <v>16</v>
      </c>
      <c r="B11" s="6">
        <v>0.03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2" spans="1:20" ht="18.600000000000001" thickBot="1" x14ac:dyDescent="0.4">
      <c r="A12" s="8" t="s">
        <v>1</v>
      </c>
      <c r="B12" s="6">
        <v>0.04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spans="1:20" ht="18.600000000000001" thickBot="1" x14ac:dyDescent="0.4">
      <c r="A13" s="8" t="s">
        <v>22</v>
      </c>
      <c r="B13" s="6">
        <v>0.22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4" spans="1:20" ht="14.55" customHeight="1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</row>
    <row r="15" spans="1:20" ht="18.600000000000001" thickBot="1" x14ac:dyDescent="0.4">
      <c r="A15" s="22" t="s">
        <v>19</v>
      </c>
      <c r="B15" s="2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</row>
    <row r="16" spans="1:20" ht="14.55" customHeight="1" thickTop="1" x14ac:dyDescent="0.35">
      <c r="A16" s="20" t="s">
        <v>21</v>
      </c>
      <c r="B16" s="20"/>
      <c r="C16" s="2"/>
      <c r="D16" s="2"/>
      <c r="E16" s="2"/>
      <c r="F16" s="2"/>
      <c r="G16" s="3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spans="1:20" ht="18.600000000000001" thickBot="1" x14ac:dyDescent="0.4">
      <c r="A17" s="23" t="s">
        <v>20</v>
      </c>
      <c r="B17" s="23"/>
      <c r="C17" s="2"/>
      <c r="D17" s="2"/>
      <c r="E17" s="2"/>
      <c r="F17" s="2"/>
      <c r="G17" s="3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spans="1:20" ht="14.55" customHeight="1" thickTop="1" thickBot="1" x14ac:dyDescent="0.4">
      <c r="A18" s="21" t="s">
        <v>24</v>
      </c>
      <c r="B18" s="21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spans="1:20" ht="18.600000000000001" thickTop="1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</row>
    <row r="20" spans="1:20" ht="18" x14ac:dyDescent="0.3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</row>
    <row r="21" spans="1:20" ht="18" x14ac:dyDescent="0.3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</row>
    <row r="22" spans="1:20" ht="18" x14ac:dyDescent="0.3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</row>
    <row r="23" spans="1:20" ht="18" x14ac:dyDescent="0.3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 spans="1:20" ht="18" x14ac:dyDescent="0.3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spans="1:20" ht="18" x14ac:dyDescent="0.3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</sheetData>
  <mergeCells count="8">
    <mergeCell ref="D1:O1"/>
    <mergeCell ref="A16:B16"/>
    <mergeCell ref="A18:B18"/>
    <mergeCell ref="A1:B1"/>
    <mergeCell ref="A4:B4"/>
    <mergeCell ref="A10:B10"/>
    <mergeCell ref="A15:B15"/>
    <mergeCell ref="A17:B17"/>
  </mergeCells>
  <conditionalFormatting sqref="D1:O1">
    <cfRule type="expression" dxfId="0" priority="1">
      <formula>age_when_money_runs_out&lt;85</formula>
    </cfRule>
  </conditionalFormatting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35" r:id="rId4" name="Scroll Bar 11">
              <controlPr defaultSize="0" autoPict="0">
                <anchor moveWithCells="1">
                  <from>
                    <xdr:col>0</xdr:col>
                    <xdr:colOff>22860</xdr:colOff>
                    <xdr:row>1</xdr:row>
                    <xdr:rowOff>15240</xdr:rowOff>
                  </from>
                  <to>
                    <xdr:col>0</xdr:col>
                    <xdr:colOff>2727960</xdr:colOff>
                    <xdr:row>1</xdr:row>
                    <xdr:rowOff>205740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AFB79A4-E181-4213-8BAC-BAE71A82C06E}">
          <x14:formula1>
            <xm:f>Support!$A$1:$A$3</xm:f>
          </x14:formula1>
          <xm:sqref>A18 A16:B16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4028B-A7EB-4174-B8DC-92EA4CF89365}">
  <dimension ref="A1:O101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1.77734375" customWidth="1"/>
    <col min="2" max="2" width="21.5546875" style="18" customWidth="1"/>
    <col min="3" max="3" width="18.109375" style="18" customWidth="1"/>
    <col min="4" max="4" width="24.88671875" style="18" customWidth="1"/>
    <col min="5" max="5" width="19.109375" style="18" customWidth="1"/>
    <col min="6" max="6" width="31.5546875" style="18" customWidth="1"/>
    <col min="7" max="7" width="19.5546875" style="18" customWidth="1"/>
    <col min="8" max="8" width="35.6640625" style="18" customWidth="1"/>
    <col min="9" max="9" width="24.77734375" style="18" customWidth="1"/>
    <col min="10" max="10" width="26.21875" style="18" customWidth="1"/>
  </cols>
  <sheetData>
    <row r="1" spans="1:15" ht="18" x14ac:dyDescent="0.35">
      <c r="A1" s="12" t="s">
        <v>0</v>
      </c>
      <c r="B1" s="16" t="s">
        <v>3</v>
      </c>
      <c r="C1" s="16" t="s">
        <v>9</v>
      </c>
      <c r="D1" s="16" t="s">
        <v>7</v>
      </c>
      <c r="E1" s="16" t="s">
        <v>6</v>
      </c>
      <c r="F1" s="16" t="s">
        <v>23</v>
      </c>
      <c r="G1" s="16" t="s">
        <v>4</v>
      </c>
      <c r="H1" s="16" t="s">
        <v>10</v>
      </c>
      <c r="I1" s="16" t="s">
        <v>5</v>
      </c>
      <c r="J1" s="16" t="s">
        <v>8</v>
      </c>
      <c r="K1" s="2"/>
      <c r="L1" s="2"/>
      <c r="M1" s="2"/>
      <c r="N1" s="2"/>
      <c r="O1" s="2"/>
    </row>
    <row r="2" spans="1:15" ht="18" x14ac:dyDescent="0.35">
      <c r="A2" s="2">
        <f>IF(Calculations!$B2&lt;age_when_money_runs_out,Calculations!B2,"")</f>
        <v>35</v>
      </c>
      <c r="B2" s="17">
        <f>IF(Calculations!$B2&lt;age_when_money_runs_out,Calculations!C2,"")</f>
        <v>70000</v>
      </c>
      <c r="C2" s="17">
        <f>IF(Calculations!$B2&lt;age_when_money_runs_out,Calculations!D2,"")</f>
        <v>15400</v>
      </c>
      <c r="D2" s="17">
        <f>IF(Calculations!$B2&lt;age_when_money_runs_out,Calculations!E2,"")</f>
        <v>45000</v>
      </c>
      <c r="E2" s="17">
        <f>IF(Calculations!$B2&lt;age_when_money_runs_out,Calculations!F2,"")</f>
        <v>9600</v>
      </c>
      <c r="F2" s="17">
        <f>IF(Calculations!$B2&lt;age_when_money_runs_out,Calculations!G2,"")</f>
        <v>30000</v>
      </c>
      <c r="G2" s="17">
        <f>IF(Calculations!$B2&lt;age_when_money_runs_out,Calculations!H2,"")</f>
        <v>1200</v>
      </c>
      <c r="H2" s="17">
        <f>IF(Calculations!$B2&lt;age_when_money_runs_out,Calculations!I2,"")</f>
        <v>0</v>
      </c>
      <c r="I2" s="17">
        <f>IF(Calculations!$B2&lt;age_when_money_runs_out,Calculations!J2,"")</f>
        <v>40800</v>
      </c>
      <c r="J2" s="17">
        <f>IF(Calculations!$B2&lt;age_when_money_runs_out,Calculations!K2,"")</f>
        <v>10800</v>
      </c>
      <c r="K2" s="2"/>
      <c r="L2" s="2"/>
      <c r="M2" s="2"/>
      <c r="N2" s="2"/>
      <c r="O2" s="2"/>
    </row>
    <row r="3" spans="1:15" ht="18" x14ac:dyDescent="0.35">
      <c r="A3" s="2">
        <f>IF(Calculations!$B3&lt;age_when_money_runs_out,Calculations!B3,"")</f>
        <v>36</v>
      </c>
      <c r="B3" s="17">
        <f>IF(Calculations!$B3&lt;age_when_money_runs_out,Calculations!C3,"")</f>
        <v>72800</v>
      </c>
      <c r="C3" s="17">
        <f>IF(Calculations!$B3&lt;age_when_money_runs_out,Calculations!D3,"")</f>
        <v>16016</v>
      </c>
      <c r="D3" s="17">
        <f>IF(Calculations!$B3&lt;age_when_money_runs_out,Calculations!E3,"")</f>
        <v>46350</v>
      </c>
      <c r="E3" s="17">
        <f>IF(Calculations!$B3&lt;age_when_money_runs_out,Calculations!F3,"")</f>
        <v>10434</v>
      </c>
      <c r="F3" s="17">
        <f>IF(Calculations!$B3&lt;age_when_money_runs_out,Calculations!G3,"")</f>
        <v>40800</v>
      </c>
      <c r="G3" s="17">
        <f>IF(Calculations!$B3&lt;age_when_money_runs_out,Calculations!H3,"")</f>
        <v>1632</v>
      </c>
      <c r="H3" s="17">
        <f>IF(Calculations!$B3&lt;age_when_money_runs_out,Calculations!I3,"")</f>
        <v>0</v>
      </c>
      <c r="I3" s="17">
        <f>IF(Calculations!$B3&lt;age_when_money_runs_out,Calculations!J3,"")</f>
        <v>52866</v>
      </c>
      <c r="J3" s="17">
        <f>IF(Calculations!$B3&lt;age_when_money_runs_out,Calculations!K3,"")</f>
        <v>12066</v>
      </c>
      <c r="K3" s="2"/>
      <c r="L3" s="2"/>
      <c r="M3" s="2"/>
      <c r="N3" s="2"/>
      <c r="O3" s="2"/>
    </row>
    <row r="4" spans="1:15" ht="18" x14ac:dyDescent="0.35">
      <c r="A4" s="2">
        <f>IF(Calculations!$B4&lt;age_when_money_runs_out,Calculations!B4,"")</f>
        <v>37</v>
      </c>
      <c r="B4" s="17">
        <f>IF(Calculations!$B4&lt;age_when_money_runs_out,Calculations!C4,"")</f>
        <v>75712</v>
      </c>
      <c r="C4" s="17">
        <f>IF(Calculations!$B4&lt;age_when_money_runs_out,Calculations!D4,"")</f>
        <v>16656.64</v>
      </c>
      <c r="D4" s="17">
        <f>IF(Calculations!$B4&lt;age_when_money_runs_out,Calculations!E4,"")</f>
        <v>47740.5</v>
      </c>
      <c r="E4" s="17">
        <f>IF(Calculations!$B4&lt;age_when_money_runs_out,Calculations!F4,"")</f>
        <v>11314.86</v>
      </c>
      <c r="F4" s="17">
        <f>IF(Calculations!$B4&lt;age_when_money_runs_out,Calculations!G4,"")</f>
        <v>52866</v>
      </c>
      <c r="G4" s="17">
        <f>IF(Calculations!$B4&lt;age_when_money_runs_out,Calculations!H4,"")</f>
        <v>2114.64</v>
      </c>
      <c r="H4" s="17">
        <f>IF(Calculations!$B4&lt;age_when_money_runs_out,Calculations!I4,"")</f>
        <v>0</v>
      </c>
      <c r="I4" s="17">
        <f>IF(Calculations!$B4&lt;age_when_money_runs_out,Calculations!J4,"")</f>
        <v>66295.5</v>
      </c>
      <c r="J4" s="17">
        <f>IF(Calculations!$B4&lt;age_when_money_runs_out,Calculations!K4,"")</f>
        <v>13429.5</v>
      </c>
      <c r="K4" s="2"/>
      <c r="L4" s="2"/>
      <c r="M4" s="2"/>
      <c r="N4" s="2"/>
      <c r="O4" s="2"/>
    </row>
    <row r="5" spans="1:15" ht="18" x14ac:dyDescent="0.35">
      <c r="A5" s="2">
        <f>IF(Calculations!$B5&lt;age_when_money_runs_out,Calculations!B5,"")</f>
        <v>38</v>
      </c>
      <c r="B5" s="17">
        <f>IF(Calculations!$B5&lt;age_when_money_runs_out,Calculations!C5,"")</f>
        <v>78740.479999999996</v>
      </c>
      <c r="C5" s="17">
        <f>IF(Calculations!$B5&lt;age_when_money_runs_out,Calculations!D5,"")</f>
        <v>17322.905599999998</v>
      </c>
      <c r="D5" s="17">
        <f>IF(Calculations!$B5&lt;age_when_money_runs_out,Calculations!E5,"")</f>
        <v>49172.714999999997</v>
      </c>
      <c r="E5" s="17">
        <f>IF(Calculations!$B5&lt;age_when_money_runs_out,Calculations!F5,"")</f>
        <v>12244.859400000001</v>
      </c>
      <c r="F5" s="17">
        <f>IF(Calculations!$B5&lt;age_when_money_runs_out,Calculations!G5,"")</f>
        <v>66295.5</v>
      </c>
      <c r="G5" s="17">
        <f>IF(Calculations!$B5&lt;age_when_money_runs_out,Calculations!H5,"")</f>
        <v>2651.82</v>
      </c>
      <c r="H5" s="17">
        <f>IF(Calculations!$B5&lt;age_when_money_runs_out,Calculations!I5,"")</f>
        <v>0</v>
      </c>
      <c r="I5" s="17">
        <f>IF(Calculations!$B5&lt;age_when_money_runs_out,Calculations!J5,"")</f>
        <v>81192.179400000008</v>
      </c>
      <c r="J5" s="17">
        <f>IF(Calculations!$B5&lt;age_when_money_runs_out,Calculations!K5,"")</f>
        <v>14896.679400000008</v>
      </c>
      <c r="K5" s="2"/>
      <c r="L5" s="2"/>
      <c r="M5" s="2"/>
      <c r="N5" s="2"/>
      <c r="O5" s="2"/>
    </row>
    <row r="6" spans="1:15" ht="18" x14ac:dyDescent="0.35">
      <c r="A6" s="2">
        <f>IF(Calculations!$B6&lt;age_when_money_runs_out,Calculations!B6,"")</f>
        <v>39</v>
      </c>
      <c r="B6" s="17">
        <f>IF(Calculations!$B6&lt;age_when_money_runs_out,Calculations!C6,"")</f>
        <v>81890.099199999997</v>
      </c>
      <c r="C6" s="17">
        <f>IF(Calculations!$B6&lt;age_when_money_runs_out,Calculations!D6,"")</f>
        <v>18015.821823999999</v>
      </c>
      <c r="D6" s="17">
        <f>IF(Calculations!$B6&lt;age_when_money_runs_out,Calculations!E6,"")</f>
        <v>50647.896449999993</v>
      </c>
      <c r="E6" s="17">
        <f>IF(Calculations!$B6&lt;age_when_money_runs_out,Calculations!F6,"")</f>
        <v>13226.380926000005</v>
      </c>
      <c r="F6" s="17">
        <f>IF(Calculations!$B6&lt;age_when_money_runs_out,Calculations!G6,"")</f>
        <v>81192.179400000008</v>
      </c>
      <c r="G6" s="17">
        <f>IF(Calculations!$B6&lt;age_when_money_runs_out,Calculations!H6,"")</f>
        <v>3247.6871760000004</v>
      </c>
      <c r="H6" s="17">
        <f>IF(Calculations!$B6&lt;age_when_money_runs_out,Calculations!I6,"")</f>
        <v>0</v>
      </c>
      <c r="I6" s="17">
        <f>IF(Calculations!$B6&lt;age_when_money_runs_out,Calculations!J6,"")</f>
        <v>97666.247502000013</v>
      </c>
      <c r="J6" s="17">
        <f>IF(Calculations!$B6&lt;age_when_money_runs_out,Calculations!K6,"")</f>
        <v>16474.068102000005</v>
      </c>
      <c r="K6" s="2"/>
      <c r="L6" s="2"/>
      <c r="M6" s="2"/>
      <c r="N6" s="2"/>
      <c r="O6" s="2"/>
    </row>
    <row r="7" spans="1:15" ht="18" x14ac:dyDescent="0.35">
      <c r="A7" s="2">
        <f>IF(Calculations!$B7&lt;age_when_money_runs_out,Calculations!B7,"")</f>
        <v>40</v>
      </c>
      <c r="B7" s="17">
        <f>IF(Calculations!$B7&lt;age_when_money_runs_out,Calculations!C7,"")</f>
        <v>85165.703167999993</v>
      </c>
      <c r="C7" s="17">
        <f>IF(Calculations!$B7&lt;age_when_money_runs_out,Calculations!D7,"")</f>
        <v>18736.454696959998</v>
      </c>
      <c r="D7" s="17">
        <f>IF(Calculations!$B7&lt;age_when_money_runs_out,Calculations!E7,"")</f>
        <v>52167.333343499995</v>
      </c>
      <c r="E7" s="17">
        <f>IF(Calculations!$B7&lt;age_when_money_runs_out,Calculations!F7,"")</f>
        <v>14261.915127539993</v>
      </c>
      <c r="F7" s="17">
        <f>IF(Calculations!$B7&lt;age_when_money_runs_out,Calculations!G7,"")</f>
        <v>97666.247502000013</v>
      </c>
      <c r="G7" s="17">
        <f>IF(Calculations!$B7&lt;age_when_money_runs_out,Calculations!H7,"")</f>
        <v>3906.6499000800004</v>
      </c>
      <c r="H7" s="17">
        <f>IF(Calculations!$B7&lt;age_when_money_runs_out,Calculations!I7,"")</f>
        <v>0</v>
      </c>
      <c r="I7" s="17">
        <f>IF(Calculations!$B7&lt;age_when_money_runs_out,Calculations!J7,"")</f>
        <v>115834.81252962</v>
      </c>
      <c r="J7" s="17">
        <f>IF(Calculations!$B7&lt;age_when_money_runs_out,Calculations!K7,"")</f>
        <v>18168.565027619989</v>
      </c>
      <c r="K7" s="2"/>
      <c r="L7" s="2"/>
      <c r="M7" s="2"/>
      <c r="N7" s="2"/>
      <c r="O7" s="2"/>
    </row>
    <row r="8" spans="1:15" ht="18" x14ac:dyDescent="0.35">
      <c r="A8" s="2">
        <f>IF(Calculations!$B8&lt;age_when_money_runs_out,Calculations!B8,"")</f>
        <v>41</v>
      </c>
      <c r="B8" s="17">
        <f>IF(Calculations!$B8&lt;age_when_money_runs_out,Calculations!C8,"")</f>
        <v>88572.331294719988</v>
      </c>
      <c r="C8" s="17">
        <f>IF(Calculations!$B8&lt;age_when_money_runs_out,Calculations!D8,"")</f>
        <v>19485.912884838399</v>
      </c>
      <c r="D8" s="17">
        <f>IF(Calculations!$B8&lt;age_when_money_runs_out,Calculations!E8,"")</f>
        <v>53732.353343804993</v>
      </c>
      <c r="E8" s="17">
        <f>IF(Calculations!$B8&lt;age_when_money_runs_out,Calculations!F8,"")</f>
        <v>15354.065066076597</v>
      </c>
      <c r="F8" s="17">
        <f>IF(Calculations!$B8&lt;age_when_money_runs_out,Calculations!G8,"")</f>
        <v>115834.81252962</v>
      </c>
      <c r="G8" s="17">
        <f>IF(Calculations!$B8&lt;age_when_money_runs_out,Calculations!H8,"")</f>
        <v>4633.3925011848005</v>
      </c>
      <c r="H8" s="17">
        <f>IF(Calculations!$B8&lt;age_when_money_runs_out,Calculations!I8,"")</f>
        <v>0</v>
      </c>
      <c r="I8" s="17">
        <f>IF(Calculations!$B8&lt;age_when_money_runs_out,Calculations!J8,"")</f>
        <v>135822.2700968814</v>
      </c>
      <c r="J8" s="17">
        <f>IF(Calculations!$B8&lt;age_when_money_runs_out,Calculations!K8,"")</f>
        <v>19987.457567261401</v>
      </c>
      <c r="K8" s="2"/>
      <c r="L8" s="2"/>
      <c r="M8" s="2"/>
      <c r="N8" s="2"/>
      <c r="O8" s="2"/>
    </row>
    <row r="9" spans="1:15" ht="18" x14ac:dyDescent="0.35">
      <c r="A9" s="2">
        <f>IF(Calculations!$B9&lt;age_when_money_runs_out,Calculations!B9,"")</f>
        <v>42</v>
      </c>
      <c r="B9" s="17">
        <f>IF(Calculations!$B9&lt;age_when_money_runs_out,Calculations!C9,"")</f>
        <v>92115.224546508791</v>
      </c>
      <c r="C9" s="17">
        <f>IF(Calculations!$B9&lt;age_when_money_runs_out,Calculations!D9,"")</f>
        <v>20265.349400231935</v>
      </c>
      <c r="D9" s="17">
        <f>IF(Calculations!$B9&lt;age_when_money_runs_out,Calculations!E9,"")</f>
        <v>55344.32394411914</v>
      </c>
      <c r="E9" s="17">
        <f>IF(Calculations!$B9&lt;age_when_money_runs_out,Calculations!F9,"")</f>
        <v>16505.551202157716</v>
      </c>
      <c r="F9" s="17">
        <f>IF(Calculations!$B9&lt;age_when_money_runs_out,Calculations!G9,"")</f>
        <v>135822.2700968814</v>
      </c>
      <c r="G9" s="17">
        <f>IF(Calculations!$B9&lt;age_when_money_runs_out,Calculations!H9,"")</f>
        <v>5432.8908038752561</v>
      </c>
      <c r="H9" s="17">
        <f>IF(Calculations!$B9&lt;age_when_money_runs_out,Calculations!I9,"")</f>
        <v>0</v>
      </c>
      <c r="I9" s="17">
        <f>IF(Calculations!$B9&lt;age_when_money_runs_out,Calculations!J9,"")</f>
        <v>157760.71210291437</v>
      </c>
      <c r="J9" s="17">
        <f>IF(Calculations!$B9&lt;age_when_money_runs_out,Calculations!K9,"")</f>
        <v>21938.442006032972</v>
      </c>
      <c r="K9" s="2"/>
      <c r="L9" s="2"/>
      <c r="M9" s="2"/>
      <c r="N9" s="2"/>
      <c r="O9" s="2"/>
    </row>
    <row r="10" spans="1:15" ht="18" x14ac:dyDescent="0.35">
      <c r="A10" s="2">
        <f>IF(Calculations!$B10&lt;age_when_money_runs_out,Calculations!B10,"")</f>
        <v>43</v>
      </c>
      <c r="B10" s="17">
        <f>IF(Calculations!$B10&lt;age_when_money_runs_out,Calculations!C10,"")</f>
        <v>95799.833528369141</v>
      </c>
      <c r="C10" s="17">
        <f>IF(Calculations!$B10&lt;age_when_money_runs_out,Calculations!D10,"")</f>
        <v>21075.963376241212</v>
      </c>
      <c r="D10" s="17">
        <f>IF(Calculations!$B10&lt;age_when_money_runs_out,Calculations!E10,"")</f>
        <v>57004.653662442717</v>
      </c>
      <c r="E10" s="17">
        <f>IF(Calculations!$B10&lt;age_when_money_runs_out,Calculations!F10,"")</f>
        <v>17719.216489685212</v>
      </c>
      <c r="F10" s="17">
        <f>IF(Calculations!$B10&lt;age_when_money_runs_out,Calculations!G10,"")</f>
        <v>157760.71210291437</v>
      </c>
      <c r="G10" s="17">
        <f>IF(Calculations!$B10&lt;age_when_money_runs_out,Calculations!H10,"")</f>
        <v>6310.4284841165754</v>
      </c>
      <c r="H10" s="17">
        <f>IF(Calculations!$B10&lt;age_when_money_runs_out,Calculations!I10,"")</f>
        <v>0</v>
      </c>
      <c r="I10" s="17">
        <f>IF(Calculations!$B10&lt;age_when_money_runs_out,Calculations!J10,"")</f>
        <v>181790.35707671614</v>
      </c>
      <c r="J10" s="17">
        <f>IF(Calculations!$B10&lt;age_when_money_runs_out,Calculations!K10,"")</f>
        <v>24029.644973801769</v>
      </c>
      <c r="K10" s="2"/>
      <c r="L10" s="2"/>
      <c r="M10" s="2"/>
      <c r="N10" s="2"/>
      <c r="O10" s="2"/>
    </row>
    <row r="11" spans="1:15" ht="18" x14ac:dyDescent="0.35">
      <c r="A11" s="2">
        <f>IF(Calculations!$B11&lt;age_when_money_runs_out,Calculations!B11,"")</f>
        <v>44</v>
      </c>
      <c r="B11" s="17">
        <f>IF(Calculations!$B11&lt;age_when_money_runs_out,Calculations!C11,"")</f>
        <v>99631.826869503901</v>
      </c>
      <c r="C11" s="17">
        <f>IF(Calculations!$B11&lt;age_when_money_runs_out,Calculations!D11,"")</f>
        <v>21919.001911290859</v>
      </c>
      <c r="D11" s="17">
        <f>IF(Calculations!$B11&lt;age_when_money_runs_out,Calculations!E11,"")</f>
        <v>58714.793272315997</v>
      </c>
      <c r="E11" s="17">
        <f>IF(Calculations!$B11&lt;age_when_money_runs_out,Calculations!F11,"")</f>
        <v>18998.03168589704</v>
      </c>
      <c r="F11" s="17">
        <f>IF(Calculations!$B11&lt;age_when_money_runs_out,Calculations!G11,"")</f>
        <v>181790.35707671614</v>
      </c>
      <c r="G11" s="17">
        <f>IF(Calculations!$B11&lt;age_when_money_runs_out,Calculations!H11,"")</f>
        <v>7271.6142830686458</v>
      </c>
      <c r="H11" s="17">
        <f>IF(Calculations!$B11&lt;age_when_money_runs_out,Calculations!I11,"")</f>
        <v>0</v>
      </c>
      <c r="I11" s="17">
        <f>IF(Calculations!$B11&lt;age_when_money_runs_out,Calculations!J11,"")</f>
        <v>208060.00304568183</v>
      </c>
      <c r="J11" s="17">
        <f>IF(Calculations!$B11&lt;age_when_money_runs_out,Calculations!K11,"")</f>
        <v>26269.645968965691</v>
      </c>
      <c r="K11" s="2"/>
      <c r="L11" s="2"/>
      <c r="M11" s="2"/>
      <c r="N11" s="2"/>
      <c r="O11" s="2"/>
    </row>
    <row r="12" spans="1:15" ht="18" x14ac:dyDescent="0.35">
      <c r="A12" s="2">
        <f>IF(Calculations!$B12&lt;age_when_money_runs_out,Calculations!B12,"")</f>
        <v>45</v>
      </c>
      <c r="B12" s="17">
        <f>IF(Calculations!$B12&lt;age_when_money_runs_out,Calculations!C12,"")</f>
        <v>103617.09994428405</v>
      </c>
      <c r="C12" s="17">
        <f>IF(Calculations!$B12&lt;age_when_money_runs_out,Calculations!D12,"")</f>
        <v>22795.761987742491</v>
      </c>
      <c r="D12" s="17">
        <f>IF(Calculations!$B12&lt;age_when_money_runs_out,Calculations!E12,"")</f>
        <v>60476.237070485477</v>
      </c>
      <c r="E12" s="17">
        <f>IF(Calculations!$B12&lt;age_when_money_runs_out,Calculations!F12,"")</f>
        <v>20345.100886056091</v>
      </c>
      <c r="F12" s="17">
        <f>IF(Calculations!$B12&lt;age_when_money_runs_out,Calculations!G12,"")</f>
        <v>208060.00304568183</v>
      </c>
      <c r="G12" s="17">
        <f>IF(Calculations!$B12&lt;age_when_money_runs_out,Calculations!H12,"")</f>
        <v>8322.4001218272733</v>
      </c>
      <c r="H12" s="17">
        <f>IF(Calculations!$B12&lt;age_when_money_runs_out,Calculations!I12,"")</f>
        <v>0</v>
      </c>
      <c r="I12" s="17">
        <f>IF(Calculations!$B12&lt;age_when_money_runs_out,Calculations!J12,"")</f>
        <v>236727.50405356518</v>
      </c>
      <c r="J12" s="17">
        <f>IF(Calculations!$B12&lt;age_when_money_runs_out,Calculations!K12,"")</f>
        <v>28667.501007883344</v>
      </c>
      <c r="K12" s="2"/>
      <c r="L12" s="2"/>
      <c r="M12" s="2"/>
      <c r="N12" s="2"/>
      <c r="O12" s="2"/>
    </row>
    <row r="13" spans="1:15" ht="18" x14ac:dyDescent="0.35">
      <c r="A13" s="2">
        <f>IF(Calculations!$B13&lt;age_when_money_runs_out,Calculations!B13,"")</f>
        <v>46</v>
      </c>
      <c r="B13" s="17">
        <f>IF(Calculations!$B13&lt;age_when_money_runs_out,Calculations!C13,"")</f>
        <v>107761.78394205542</v>
      </c>
      <c r="C13" s="17">
        <f>IF(Calculations!$B13&lt;age_when_money_runs_out,Calculations!D13,"")</f>
        <v>23707.592467252194</v>
      </c>
      <c r="D13" s="17">
        <f>IF(Calculations!$B13&lt;age_when_money_runs_out,Calculations!E13,"")</f>
        <v>62290.524182600042</v>
      </c>
      <c r="E13" s="17">
        <f>IF(Calculations!$B13&lt;age_when_money_runs_out,Calculations!F13,"")</f>
        <v>21763.667292203187</v>
      </c>
      <c r="F13" s="17">
        <f>IF(Calculations!$B13&lt;age_when_money_runs_out,Calculations!G13,"")</f>
        <v>236727.50405356518</v>
      </c>
      <c r="G13" s="17">
        <f>IF(Calculations!$B13&lt;age_when_money_runs_out,Calculations!H13,"")</f>
        <v>9469.1001621426076</v>
      </c>
      <c r="H13" s="17">
        <f>IF(Calculations!$B13&lt;age_when_money_runs_out,Calculations!I13,"")</f>
        <v>0</v>
      </c>
      <c r="I13" s="17">
        <f>IF(Calculations!$B13&lt;age_when_money_runs_out,Calculations!J13,"")</f>
        <v>267960.27150791098</v>
      </c>
      <c r="J13" s="17">
        <f>IF(Calculations!$B13&lt;age_when_money_runs_out,Calculations!K13,"")</f>
        <v>31232.767454345798</v>
      </c>
      <c r="K13" s="2"/>
      <c r="L13" s="2"/>
      <c r="M13" s="2"/>
      <c r="N13" s="2"/>
      <c r="O13" s="2"/>
    </row>
    <row r="14" spans="1:15" ht="18" x14ac:dyDescent="0.35">
      <c r="A14" s="2">
        <f>IF(Calculations!$B14&lt;age_when_money_runs_out,Calculations!B14,"")</f>
        <v>47</v>
      </c>
      <c r="B14" s="17">
        <f>IF(Calculations!$B14&lt;age_when_money_runs_out,Calculations!C14,"")</f>
        <v>112072.25529973763</v>
      </c>
      <c r="C14" s="17">
        <f>IF(Calculations!$B14&lt;age_when_money_runs_out,Calculations!D14,"")</f>
        <v>24655.896165942278</v>
      </c>
      <c r="D14" s="17">
        <f>IF(Calculations!$B14&lt;age_when_money_runs_out,Calculations!E14,"")</f>
        <v>64159.239908078045</v>
      </c>
      <c r="E14" s="17">
        <f>IF(Calculations!$B14&lt;age_when_money_runs_out,Calculations!F14,"")</f>
        <v>23257.11922571731</v>
      </c>
      <c r="F14" s="17">
        <f>IF(Calculations!$B14&lt;age_when_money_runs_out,Calculations!G14,"")</f>
        <v>267960.27150791098</v>
      </c>
      <c r="G14" s="17">
        <f>IF(Calculations!$B14&lt;age_when_money_runs_out,Calculations!H14,"")</f>
        <v>10718.410860316439</v>
      </c>
      <c r="H14" s="17">
        <f>IF(Calculations!$B14&lt;age_when_money_runs_out,Calculations!I14,"")</f>
        <v>0</v>
      </c>
      <c r="I14" s="17">
        <f>IF(Calculations!$B14&lt;age_when_money_runs_out,Calculations!J14,"")</f>
        <v>301935.80159394472</v>
      </c>
      <c r="J14" s="17">
        <f>IF(Calculations!$B14&lt;age_when_money_runs_out,Calculations!K14,"")</f>
        <v>33975.530086033745</v>
      </c>
      <c r="K14" s="2"/>
      <c r="L14" s="2"/>
      <c r="M14" s="2"/>
      <c r="N14" s="2"/>
      <c r="O14" s="2"/>
    </row>
    <row r="15" spans="1:15" ht="18" x14ac:dyDescent="0.35">
      <c r="A15" s="2">
        <f>IF(Calculations!$B15&lt;age_when_money_runs_out,Calculations!B15,"")</f>
        <v>48</v>
      </c>
      <c r="B15" s="17">
        <f>IF(Calculations!$B15&lt;age_when_money_runs_out,Calculations!C15,"")</f>
        <v>116555.14551172714</v>
      </c>
      <c r="C15" s="17">
        <f>IF(Calculations!$B15&lt;age_when_money_runs_out,Calculations!D15,"")</f>
        <v>25642.132012579972</v>
      </c>
      <c r="D15" s="17">
        <f>IF(Calculations!$B15&lt;age_when_money_runs_out,Calculations!E15,"")</f>
        <v>66084.017105320381</v>
      </c>
      <c r="E15" s="17">
        <f>IF(Calculations!$B15&lt;age_when_money_runs_out,Calculations!F15,"")</f>
        <v>24828.99639382679</v>
      </c>
      <c r="F15" s="17">
        <f>IF(Calculations!$B15&lt;age_when_money_runs_out,Calculations!G15,"")</f>
        <v>301935.80159394472</v>
      </c>
      <c r="G15" s="17">
        <f>IF(Calculations!$B15&lt;age_when_money_runs_out,Calculations!H15,"")</f>
        <v>12077.432063757789</v>
      </c>
      <c r="H15" s="17">
        <f>IF(Calculations!$B15&lt;age_when_money_runs_out,Calculations!I15,"")</f>
        <v>0</v>
      </c>
      <c r="I15" s="17">
        <f>IF(Calculations!$B15&lt;age_when_money_runs_out,Calculations!J15,"")</f>
        <v>338842.2300515293</v>
      </c>
      <c r="J15" s="17">
        <f>IF(Calculations!$B15&lt;age_when_money_runs_out,Calculations!K15,"")</f>
        <v>36906.428457584581</v>
      </c>
      <c r="K15" s="2"/>
      <c r="L15" s="2"/>
      <c r="M15" s="2"/>
      <c r="N15" s="2"/>
      <c r="O15" s="2"/>
    </row>
    <row r="16" spans="1:15" ht="18" x14ac:dyDescent="0.35">
      <c r="A16" s="2">
        <f>IF(Calculations!$B16&lt;age_when_money_runs_out,Calculations!B16,"")</f>
        <v>49</v>
      </c>
      <c r="B16" s="17">
        <f>IF(Calculations!$B16&lt;age_when_money_runs_out,Calculations!C16,"")</f>
        <v>121217.35133219622</v>
      </c>
      <c r="C16" s="17">
        <f>IF(Calculations!$B16&lt;age_when_money_runs_out,Calculations!D16,"")</f>
        <v>26667.817293083168</v>
      </c>
      <c r="D16" s="17">
        <f>IF(Calculations!$B16&lt;age_when_money_runs_out,Calculations!E16,"")</f>
        <v>68066.537618479997</v>
      </c>
      <c r="E16" s="17">
        <f>IF(Calculations!$B16&lt;age_when_money_runs_out,Calculations!F16,"")</f>
        <v>26482.996420633062</v>
      </c>
      <c r="F16" s="17">
        <f>IF(Calculations!$B16&lt;age_when_money_runs_out,Calculations!G16,"")</f>
        <v>338842.2300515293</v>
      </c>
      <c r="G16" s="17">
        <f>IF(Calculations!$B16&lt;age_when_money_runs_out,Calculations!H16,"")</f>
        <v>13553.689202061172</v>
      </c>
      <c r="H16" s="17">
        <f>IF(Calculations!$B16&lt;age_when_money_runs_out,Calculations!I16,"")</f>
        <v>0</v>
      </c>
      <c r="I16" s="17">
        <f>IF(Calculations!$B16&lt;age_when_money_runs_out,Calculations!J16,"")</f>
        <v>378878.91567422351</v>
      </c>
      <c r="J16" s="17">
        <f>IF(Calculations!$B16&lt;age_when_money_runs_out,Calculations!K16,"")</f>
        <v>40036.685622694204</v>
      </c>
      <c r="K16" s="2"/>
      <c r="L16" s="2"/>
      <c r="M16" s="2"/>
      <c r="N16" s="2"/>
      <c r="O16" s="2"/>
    </row>
    <row r="17" spans="1:15" ht="18" x14ac:dyDescent="0.35">
      <c r="A17" s="2">
        <f>IF(Calculations!$B17&lt;age_when_money_runs_out,Calculations!B17,"")</f>
        <v>50</v>
      </c>
      <c r="B17" s="17">
        <f>IF(Calculations!$B17&lt;age_when_money_runs_out,Calculations!C17,"")</f>
        <v>126066.04538548407</v>
      </c>
      <c r="C17" s="17">
        <f>IF(Calculations!$B17&lt;age_when_money_runs_out,Calculations!D17,"")</f>
        <v>27734.529984806497</v>
      </c>
      <c r="D17" s="17">
        <f>IF(Calculations!$B17&lt;age_when_money_runs_out,Calculations!E17,"")</f>
        <v>70108.533747034395</v>
      </c>
      <c r="E17" s="17">
        <f>IF(Calculations!$B17&lt;age_when_money_runs_out,Calculations!F17,"")</f>
        <v>28222.981653643175</v>
      </c>
      <c r="F17" s="17">
        <f>IF(Calculations!$B17&lt;age_when_money_runs_out,Calculations!G17,"")</f>
        <v>378878.91567422351</v>
      </c>
      <c r="G17" s="17">
        <f>IF(Calculations!$B17&lt;age_when_money_runs_out,Calculations!H17,"")</f>
        <v>15155.156626968941</v>
      </c>
      <c r="H17" s="17">
        <f>IF(Calculations!$B17&lt;age_when_money_runs_out,Calculations!I17,"")</f>
        <v>0</v>
      </c>
      <c r="I17" s="17">
        <f>IF(Calculations!$B17&lt;age_when_money_runs_out,Calculations!J17,"")</f>
        <v>422257.05395483563</v>
      </c>
      <c r="J17" s="17">
        <f>IF(Calculations!$B17&lt;age_when_money_runs_out,Calculations!K17,"")</f>
        <v>43378.138280612126</v>
      </c>
      <c r="K17" s="2"/>
      <c r="L17" s="2"/>
      <c r="M17" s="2"/>
      <c r="N17" s="2"/>
      <c r="O17" s="2"/>
    </row>
    <row r="18" spans="1:15" ht="18" x14ac:dyDescent="0.35">
      <c r="A18" s="2">
        <f>IF(Calculations!$B18&lt;age_when_money_runs_out,Calculations!B18,"")</f>
        <v>51</v>
      </c>
      <c r="B18" s="17">
        <f>IF(Calculations!$B18&lt;age_when_money_runs_out,Calculations!C18,"")</f>
        <v>131108.68720090343</v>
      </c>
      <c r="C18" s="17">
        <f>IF(Calculations!$B18&lt;age_when_money_runs_out,Calculations!D18,"")</f>
        <v>28843.911184198754</v>
      </c>
      <c r="D18" s="17">
        <f>IF(Calculations!$B18&lt;age_when_money_runs_out,Calculations!E18,"")</f>
        <v>72211.789759445426</v>
      </c>
      <c r="E18" s="17">
        <f>IF(Calculations!$B18&lt;age_when_money_runs_out,Calculations!F18,"")</f>
        <v>30052.986257259254</v>
      </c>
      <c r="F18" s="17">
        <f>IF(Calculations!$B18&lt;age_when_money_runs_out,Calculations!G18,"")</f>
        <v>422257.05395483563</v>
      </c>
      <c r="G18" s="17">
        <f>IF(Calculations!$B18&lt;age_when_money_runs_out,Calculations!H18,"")</f>
        <v>16890.282158193426</v>
      </c>
      <c r="H18" s="17">
        <f>IF(Calculations!$B18&lt;age_when_money_runs_out,Calculations!I18,"")</f>
        <v>0</v>
      </c>
      <c r="I18" s="17">
        <f>IF(Calculations!$B18&lt;age_when_money_runs_out,Calculations!J18,"")</f>
        <v>469200.32237028831</v>
      </c>
      <c r="J18" s="17">
        <f>IF(Calculations!$B18&lt;age_when_money_runs_out,Calculations!K18,"")</f>
        <v>46943.26841545268</v>
      </c>
      <c r="K18" s="2"/>
      <c r="L18" s="2"/>
      <c r="M18" s="2"/>
      <c r="N18" s="2"/>
      <c r="O18" s="2"/>
    </row>
    <row r="19" spans="1:15" ht="18" x14ac:dyDescent="0.35">
      <c r="A19" s="2">
        <f>IF(Calculations!$B19&lt;age_when_money_runs_out,Calculations!B19,"")</f>
        <v>52</v>
      </c>
      <c r="B19" s="17">
        <f>IF(Calculations!$B19&lt;age_when_money_runs_out,Calculations!C19,"")</f>
        <v>136353.03468893957</v>
      </c>
      <c r="C19" s="17">
        <f>IF(Calculations!$B19&lt;age_when_money_runs_out,Calculations!D19,"")</f>
        <v>29997.667631566706</v>
      </c>
      <c r="D19" s="17">
        <f>IF(Calculations!$B19&lt;age_when_money_runs_out,Calculations!E19,"")</f>
        <v>74378.143452228789</v>
      </c>
      <c r="E19" s="17">
        <f>IF(Calculations!$B19&lt;age_when_money_runs_out,Calculations!F19,"")</f>
        <v>31977.223605144085</v>
      </c>
      <c r="F19" s="17">
        <f>IF(Calculations!$B19&lt;age_when_money_runs_out,Calculations!G19,"")</f>
        <v>469200.32237028831</v>
      </c>
      <c r="G19" s="17">
        <f>IF(Calculations!$B19&lt;age_when_money_runs_out,Calculations!H19,"")</f>
        <v>18768.012894811534</v>
      </c>
      <c r="H19" s="17">
        <f>IF(Calculations!$B19&lt;age_when_money_runs_out,Calculations!I19,"")</f>
        <v>0</v>
      </c>
      <c r="I19" s="17">
        <f>IF(Calculations!$B19&lt;age_when_money_runs_out,Calculations!J19,"")</f>
        <v>519945.5588702439</v>
      </c>
      <c r="J19" s="17">
        <f>IF(Calculations!$B19&lt;age_when_money_runs_out,Calculations!K19,"")</f>
        <v>50745.236499955587</v>
      </c>
      <c r="K19" s="2"/>
      <c r="L19" s="2"/>
      <c r="M19" s="2"/>
      <c r="N19" s="2"/>
      <c r="O19" s="2"/>
    </row>
    <row r="20" spans="1:15" ht="18" x14ac:dyDescent="0.35">
      <c r="A20" s="2">
        <f>IF(Calculations!$B20&lt;age_when_money_runs_out,Calculations!B20,"")</f>
        <v>53</v>
      </c>
      <c r="B20" s="17">
        <f>IF(Calculations!$B20&lt;age_when_money_runs_out,Calculations!C20,"")</f>
        <v>141807.15607649717</v>
      </c>
      <c r="C20" s="17">
        <f>IF(Calculations!$B20&lt;age_when_money_runs_out,Calculations!D20,"")</f>
        <v>31197.574336829377</v>
      </c>
      <c r="D20" s="17">
        <f>IF(Calculations!$B20&lt;age_when_money_runs_out,Calculations!E20,"")</f>
        <v>76609.48775579565</v>
      </c>
      <c r="E20" s="17">
        <f>IF(Calculations!$B20&lt;age_when_money_runs_out,Calculations!F20,"")</f>
        <v>34000.093983872139</v>
      </c>
      <c r="F20" s="17">
        <f>IF(Calculations!$B20&lt;age_when_money_runs_out,Calculations!G20,"")</f>
        <v>519945.5588702439</v>
      </c>
      <c r="G20" s="17">
        <f>IF(Calculations!$B20&lt;age_when_money_runs_out,Calculations!H20,"")</f>
        <v>20797.822354809756</v>
      </c>
      <c r="H20" s="17">
        <f>IF(Calculations!$B20&lt;age_when_money_runs_out,Calculations!I20,"")</f>
        <v>0</v>
      </c>
      <c r="I20" s="17">
        <f>IF(Calculations!$B20&lt;age_when_money_runs_out,Calculations!J20,"")</f>
        <v>574743.47520892578</v>
      </c>
      <c r="J20" s="17">
        <f>IF(Calculations!$B20&lt;age_when_money_runs_out,Calculations!K20,"")</f>
        <v>54797.916338681884</v>
      </c>
      <c r="K20" s="2"/>
      <c r="L20" s="2"/>
      <c r="M20" s="2"/>
      <c r="N20" s="2"/>
      <c r="O20" s="2"/>
    </row>
    <row r="21" spans="1:15" ht="18" x14ac:dyDescent="0.35">
      <c r="A21" s="2">
        <f>IF(Calculations!$B21&lt;age_when_money_runs_out,Calculations!B21,"")</f>
        <v>54</v>
      </c>
      <c r="B21" s="17">
        <f>IF(Calculations!$B21&lt;age_when_money_runs_out,Calculations!C21,"")</f>
        <v>147479.44231955704</v>
      </c>
      <c r="C21" s="17">
        <f>IF(Calculations!$B21&lt;age_when_money_runs_out,Calculations!D21,"")</f>
        <v>32445.477310302551</v>
      </c>
      <c r="D21" s="17">
        <f>IF(Calculations!$B21&lt;age_when_money_runs_out,Calculations!E21,"")</f>
        <v>78907.772388469515</v>
      </c>
      <c r="E21" s="17">
        <f>IF(Calculations!$B21&lt;age_when_money_runs_out,Calculations!F21,"")</f>
        <v>36126.192620784976</v>
      </c>
      <c r="F21" s="17">
        <f>IF(Calculations!$B21&lt;age_when_money_runs_out,Calculations!G21,"")</f>
        <v>574743.47520892578</v>
      </c>
      <c r="G21" s="17">
        <f>IF(Calculations!$B21&lt;age_when_money_runs_out,Calculations!H21,"")</f>
        <v>22989.739008357032</v>
      </c>
      <c r="H21" s="17">
        <f>IF(Calculations!$B21&lt;age_when_money_runs_out,Calculations!I21,"")</f>
        <v>0</v>
      </c>
      <c r="I21" s="17">
        <f>IF(Calculations!$B21&lt;age_when_money_runs_out,Calculations!J21,"")</f>
        <v>633859.40683806781</v>
      </c>
      <c r="J21" s="17">
        <f>IF(Calculations!$B21&lt;age_when_money_runs_out,Calculations!K21,"")</f>
        <v>59115.931629142025</v>
      </c>
      <c r="K21" s="2"/>
      <c r="L21" s="2"/>
      <c r="M21" s="2"/>
      <c r="N21" s="2"/>
      <c r="O21" s="2"/>
    </row>
    <row r="22" spans="1:15" ht="18" x14ac:dyDescent="0.35">
      <c r="A22" s="2">
        <f>IF(Calculations!$B22&lt;age_when_money_runs_out,Calculations!B22,"")</f>
        <v>55</v>
      </c>
      <c r="B22" s="17">
        <f>IF(Calculations!$B22&lt;age_when_money_runs_out,Calculations!C22,"")</f>
        <v>153378.62001233932</v>
      </c>
      <c r="C22" s="17">
        <f>IF(Calculations!$B22&lt;age_when_money_runs_out,Calculations!D22,"")</f>
        <v>33743.296402714652</v>
      </c>
      <c r="D22" s="17">
        <f>IF(Calculations!$B22&lt;age_when_money_runs_out,Calculations!E22,"")</f>
        <v>81275.005560123594</v>
      </c>
      <c r="E22" s="17">
        <f>IF(Calculations!$B22&lt;age_when_money_runs_out,Calculations!F22,"")</f>
        <v>38360.318049501075</v>
      </c>
      <c r="F22" s="17">
        <f>IF(Calculations!$B22&lt;age_when_money_runs_out,Calculations!G22,"")</f>
        <v>633859.40683806781</v>
      </c>
      <c r="G22" s="17">
        <f>IF(Calculations!$B22&lt;age_when_money_runs_out,Calculations!H22,"")</f>
        <v>25354.376273522714</v>
      </c>
      <c r="H22" s="17">
        <f>IF(Calculations!$B22&lt;age_when_money_runs_out,Calculations!I22,"")</f>
        <v>0</v>
      </c>
      <c r="I22" s="17">
        <f>IF(Calculations!$B22&lt;age_when_money_runs_out,Calculations!J22,"")</f>
        <v>697574.10116109159</v>
      </c>
      <c r="J22" s="17">
        <f>IF(Calculations!$B22&lt;age_when_money_runs_out,Calculations!K22,"")</f>
        <v>63714.694323023781</v>
      </c>
      <c r="K22" s="2"/>
      <c r="L22" s="2"/>
      <c r="M22" s="2"/>
      <c r="N22" s="2"/>
      <c r="O22" s="2"/>
    </row>
    <row r="23" spans="1:15" ht="18" x14ac:dyDescent="0.35">
      <c r="A23" s="2">
        <f>IF(Calculations!$B23&lt;age_when_money_runs_out,Calculations!B23,"")</f>
        <v>56</v>
      </c>
      <c r="B23" s="17">
        <f>IF(Calculations!$B23&lt;age_when_money_runs_out,Calculations!C23,"")</f>
        <v>159513.7648128329</v>
      </c>
      <c r="C23" s="17">
        <f>IF(Calculations!$B23&lt;age_when_money_runs_out,Calculations!D23,"")</f>
        <v>35093.028258823237</v>
      </c>
      <c r="D23" s="17">
        <f>IF(Calculations!$B23&lt;age_when_money_runs_out,Calculations!E23,"")</f>
        <v>83713.255726927309</v>
      </c>
      <c r="E23" s="17">
        <f>IF(Calculations!$B23&lt;age_when_money_runs_out,Calculations!F23,"")</f>
        <v>40707.480827082356</v>
      </c>
      <c r="F23" s="17">
        <f>IF(Calculations!$B23&lt;age_when_money_runs_out,Calculations!G23,"")</f>
        <v>697574.10116109159</v>
      </c>
      <c r="G23" s="17">
        <f>IF(Calculations!$B23&lt;age_when_money_runs_out,Calculations!H23,"")</f>
        <v>27902.964046443663</v>
      </c>
      <c r="H23" s="17">
        <f>IF(Calculations!$B23&lt;age_when_money_runs_out,Calculations!I23,"")</f>
        <v>0</v>
      </c>
      <c r="I23" s="17">
        <f>IF(Calculations!$B23&lt;age_when_money_runs_out,Calculations!J23,"")</f>
        <v>766184.5460346177</v>
      </c>
      <c r="J23" s="17">
        <f>IF(Calculations!$B23&lt;age_when_money_runs_out,Calculations!K23,"")</f>
        <v>68610.44487352611</v>
      </c>
      <c r="K23" s="2"/>
      <c r="L23" s="2"/>
      <c r="M23" s="2"/>
      <c r="N23" s="2"/>
      <c r="O23" s="2"/>
    </row>
    <row r="24" spans="1:15" ht="18" x14ac:dyDescent="0.35">
      <c r="A24" s="2">
        <f>IF(Calculations!$B24&lt;age_when_money_runs_out,Calculations!B24,"")</f>
        <v>57</v>
      </c>
      <c r="B24" s="17">
        <f>IF(Calculations!$B24&lt;age_when_money_runs_out,Calculations!C24,"")</f>
        <v>165894.31540534622</v>
      </c>
      <c r="C24" s="17">
        <f>IF(Calculations!$B24&lt;age_when_money_runs_out,Calculations!D24,"")</f>
        <v>36496.74938917617</v>
      </c>
      <c r="D24" s="17">
        <f>IF(Calculations!$B24&lt;age_when_money_runs_out,Calculations!E24,"")</f>
        <v>86224.653398735129</v>
      </c>
      <c r="E24" s="17">
        <f>IF(Calculations!$B24&lt;age_when_money_runs_out,Calculations!F24,"")</f>
        <v>43172.912617434922</v>
      </c>
      <c r="F24" s="17">
        <f>IF(Calculations!$B24&lt;age_when_money_runs_out,Calculations!G24,"")</f>
        <v>766184.5460346177</v>
      </c>
      <c r="G24" s="17">
        <f>IF(Calculations!$B24&lt;age_when_money_runs_out,Calculations!H24,"")</f>
        <v>30647.381841384708</v>
      </c>
      <c r="H24" s="17">
        <f>IF(Calculations!$B24&lt;age_when_money_runs_out,Calculations!I24,"")</f>
        <v>0</v>
      </c>
      <c r="I24" s="17">
        <f>IF(Calculations!$B24&lt;age_when_money_runs_out,Calculations!J24,"")</f>
        <v>840004.84049343725</v>
      </c>
      <c r="J24" s="17">
        <f>IF(Calculations!$B24&lt;age_when_money_runs_out,Calculations!K24,"")</f>
        <v>73820.294458819553</v>
      </c>
      <c r="K24" s="2"/>
      <c r="L24" s="2"/>
      <c r="M24" s="2"/>
      <c r="N24" s="2"/>
      <c r="O24" s="2"/>
    </row>
    <row r="25" spans="1:15" ht="18" x14ac:dyDescent="0.35">
      <c r="A25" s="2">
        <f>IF(Calculations!$B25&lt;age_when_money_runs_out,Calculations!B25,"")</f>
        <v>58</v>
      </c>
      <c r="B25" s="17">
        <f>IF(Calculations!$B25&lt;age_when_money_runs_out,Calculations!C25,"")</f>
        <v>172530.08802156008</v>
      </c>
      <c r="C25" s="17">
        <f>IF(Calculations!$B25&lt;age_when_money_runs_out,Calculations!D25,"")</f>
        <v>37956.619364743216</v>
      </c>
      <c r="D25" s="17">
        <f>IF(Calculations!$B25&lt;age_when_money_runs_out,Calculations!E25,"")</f>
        <v>88811.393000697179</v>
      </c>
      <c r="E25" s="17">
        <f>IF(Calculations!$B25&lt;age_when_money_runs_out,Calculations!F25,"")</f>
        <v>45762.07565611969</v>
      </c>
      <c r="F25" s="17">
        <f>IF(Calculations!$B25&lt;age_when_money_runs_out,Calculations!G25,"")</f>
        <v>840004.84049343725</v>
      </c>
      <c r="G25" s="17">
        <f>IF(Calculations!$B25&lt;age_when_money_runs_out,Calculations!H25,"")</f>
        <v>33600.193619737489</v>
      </c>
      <c r="H25" s="17">
        <f>IF(Calculations!$B25&lt;age_when_money_runs_out,Calculations!I25,"")</f>
        <v>0</v>
      </c>
      <c r="I25" s="17">
        <f>IF(Calculations!$B25&lt;age_when_money_runs_out,Calculations!J25,"")</f>
        <v>919367.1097692945</v>
      </c>
      <c r="J25" s="17">
        <f>IF(Calculations!$B25&lt;age_when_money_runs_out,Calculations!K25,"")</f>
        <v>79362.269275857252</v>
      </c>
      <c r="K25" s="2"/>
      <c r="L25" s="2"/>
      <c r="M25" s="2"/>
      <c r="N25" s="2"/>
      <c r="O25" s="2"/>
    </row>
    <row r="26" spans="1:15" ht="18" x14ac:dyDescent="0.35">
      <c r="A26" s="2">
        <f>IF(Calculations!$B26&lt;age_when_money_runs_out,Calculations!B26,"")</f>
        <v>59</v>
      </c>
      <c r="B26" s="17">
        <f>IF(Calculations!$B26&lt;age_when_money_runs_out,Calculations!C26,"")</f>
        <v>179431.29154242249</v>
      </c>
      <c r="C26" s="17">
        <f>IF(Calculations!$B26&lt;age_when_money_runs_out,Calculations!D26,"")</f>
        <v>39474.884139332949</v>
      </c>
      <c r="D26" s="17">
        <f>IF(Calculations!$B26&lt;age_when_money_runs_out,Calculations!E26,"")</f>
        <v>91475.734790718096</v>
      </c>
      <c r="E26" s="17">
        <f>IF(Calculations!$B26&lt;age_when_money_runs_out,Calculations!F26,"")</f>
        <v>48480.672612371447</v>
      </c>
      <c r="F26" s="17">
        <f>IF(Calculations!$B26&lt;age_when_money_runs_out,Calculations!G26,"")</f>
        <v>919367.1097692945</v>
      </c>
      <c r="G26" s="17">
        <f>IF(Calculations!$B26&lt;age_when_money_runs_out,Calculations!H26,"")</f>
        <v>36774.684390771778</v>
      </c>
      <c r="H26" s="17">
        <f>IF(Calculations!$B26&lt;age_when_money_runs_out,Calculations!I26,"")</f>
        <v>0</v>
      </c>
      <c r="I26" s="17">
        <f>IF(Calculations!$B26&lt;age_when_money_runs_out,Calculations!J26,"")</f>
        <v>1004622.4667724377</v>
      </c>
      <c r="J26" s="17">
        <f>IF(Calculations!$B26&lt;age_when_money_runs_out,Calculations!K26,"")</f>
        <v>85255.357003143174</v>
      </c>
      <c r="K26" s="2"/>
      <c r="L26" s="2"/>
      <c r="M26" s="2"/>
      <c r="N26" s="2"/>
      <c r="O26" s="2"/>
    </row>
    <row r="27" spans="1:15" ht="18" x14ac:dyDescent="0.35">
      <c r="A27" s="2">
        <f>IF(Calculations!$B27&lt;age_when_money_runs_out,Calculations!B27,"")</f>
        <v>60</v>
      </c>
      <c r="B27" s="17">
        <f>IF(Calculations!$B27&lt;age_when_money_runs_out,Calculations!C27,"")</f>
        <v>186608.5432041194</v>
      </c>
      <c r="C27" s="17">
        <f>IF(Calculations!$B27&lt;age_when_money_runs_out,Calculations!D27,"")</f>
        <v>41053.879504906268</v>
      </c>
      <c r="D27" s="17">
        <f>IF(Calculations!$B27&lt;age_when_money_runs_out,Calculations!E27,"")</f>
        <v>94220.006834439642</v>
      </c>
      <c r="E27" s="17">
        <f>IF(Calculations!$B27&lt;age_when_money_runs_out,Calculations!F27,"")</f>
        <v>51334.656864773482</v>
      </c>
      <c r="F27" s="17">
        <f>IF(Calculations!$B27&lt;age_when_money_runs_out,Calculations!G27,"")</f>
        <v>1004622.4667724377</v>
      </c>
      <c r="G27" s="17">
        <f>IF(Calculations!$B27&lt;age_when_money_runs_out,Calculations!H27,"")</f>
        <v>40184.898670897506</v>
      </c>
      <c r="H27" s="17">
        <f>IF(Calculations!$B27&lt;age_when_money_runs_out,Calculations!I27,"")</f>
        <v>0</v>
      </c>
      <c r="I27" s="17">
        <f>IF(Calculations!$B27&lt;age_when_money_runs_out,Calculations!J27,"")</f>
        <v>1096142.0223081086</v>
      </c>
      <c r="J27" s="17">
        <f>IF(Calculations!$B27&lt;age_when_money_runs_out,Calculations!K27,"")</f>
        <v>91519.555535670952</v>
      </c>
      <c r="K27" s="2"/>
      <c r="L27" s="2"/>
      <c r="M27" s="2"/>
      <c r="N27" s="2"/>
      <c r="O27" s="2"/>
    </row>
    <row r="28" spans="1:15" ht="18" x14ac:dyDescent="0.35">
      <c r="A28" s="2">
        <f>IF(Calculations!$B28&lt;age_when_money_runs_out,Calculations!B28,"")</f>
        <v>61</v>
      </c>
      <c r="B28" s="17">
        <f>IF(Calculations!$B28&lt;age_when_money_runs_out,Calculations!C28,"")</f>
        <v>194072.88493228419</v>
      </c>
      <c r="C28" s="17">
        <f>IF(Calculations!$B28&lt;age_when_money_runs_out,Calculations!D28,"")</f>
        <v>42696.034685102524</v>
      </c>
      <c r="D28" s="17">
        <f>IF(Calculations!$B28&lt;age_when_money_runs_out,Calculations!E28,"")</f>
        <v>97046.60703947283</v>
      </c>
      <c r="E28" s="17">
        <f>IF(Calculations!$B28&lt;age_when_money_runs_out,Calculations!F28,"")</f>
        <v>54330.243207708831</v>
      </c>
      <c r="F28" s="17">
        <f>IF(Calculations!$B28&lt;age_when_money_runs_out,Calculations!G28,"")</f>
        <v>1096142.0223081086</v>
      </c>
      <c r="G28" s="17">
        <f>IF(Calculations!$B28&lt;age_when_money_runs_out,Calculations!H28,"")</f>
        <v>43845.680892324344</v>
      </c>
      <c r="H28" s="17">
        <f>IF(Calculations!$B28&lt;age_when_money_runs_out,Calculations!I28,"")</f>
        <v>0</v>
      </c>
      <c r="I28" s="17">
        <f>IF(Calculations!$B28&lt;age_when_money_runs_out,Calculations!J28,"")</f>
        <v>1194317.9464081419</v>
      </c>
      <c r="J28" s="17">
        <f>IF(Calculations!$B28&lt;age_when_money_runs_out,Calculations!K28,"")</f>
        <v>98175.92410003324</v>
      </c>
      <c r="K28" s="2"/>
      <c r="L28" s="2"/>
      <c r="M28" s="2"/>
      <c r="N28" s="2"/>
      <c r="O28" s="2"/>
    </row>
    <row r="29" spans="1:15" ht="18" x14ac:dyDescent="0.35">
      <c r="A29" s="2">
        <f>IF(Calculations!$B29&lt;age_when_money_runs_out,Calculations!B29,"")</f>
        <v>62</v>
      </c>
      <c r="B29" s="17">
        <f>IF(Calculations!$B29&lt;age_when_money_runs_out,Calculations!C29,"")</f>
        <v>201835.80032957555</v>
      </c>
      <c r="C29" s="17">
        <f>IF(Calculations!$B29&lt;age_when_money_runs_out,Calculations!D29,"")</f>
        <v>44403.876072506624</v>
      </c>
      <c r="D29" s="17">
        <f>IF(Calculations!$B29&lt;age_when_money_runs_out,Calculations!E29,"")</f>
        <v>99958.005250657021</v>
      </c>
      <c r="E29" s="17">
        <f>IF(Calculations!$B29&lt;age_when_money_runs_out,Calculations!F29,"")</f>
        <v>57473.919006411903</v>
      </c>
      <c r="F29" s="17">
        <f>IF(Calculations!$B29&lt;age_when_money_runs_out,Calculations!G29,"")</f>
        <v>1194317.9464081419</v>
      </c>
      <c r="G29" s="17">
        <f>IF(Calculations!$B29&lt;age_when_money_runs_out,Calculations!H29,"")</f>
        <v>47772.717856325675</v>
      </c>
      <c r="H29" s="17">
        <f>IF(Calculations!$B29&lt;age_when_money_runs_out,Calculations!I29,"")</f>
        <v>0</v>
      </c>
      <c r="I29" s="17">
        <f>IF(Calculations!$B29&lt;age_when_money_runs_out,Calculations!J29,"")</f>
        <v>1299564.5832708795</v>
      </c>
      <c r="J29" s="17">
        <f>IF(Calculations!$B29&lt;age_when_money_runs_out,Calculations!K29,"")</f>
        <v>105246.63686273759</v>
      </c>
    </row>
    <row r="30" spans="1:15" ht="18" x14ac:dyDescent="0.35">
      <c r="A30" s="2">
        <f>IF(Calculations!$B30&lt;age_when_money_runs_out,Calculations!B30,"")</f>
        <v>63</v>
      </c>
      <c r="B30" s="17">
        <f>IF(Calculations!$B30&lt;age_when_money_runs_out,Calculations!C30,"")</f>
        <v>209909.23234275857</v>
      </c>
      <c r="C30" s="17">
        <f>IF(Calculations!$B30&lt;age_when_money_runs_out,Calculations!D30,"")</f>
        <v>46180.031115406884</v>
      </c>
      <c r="D30" s="17">
        <f>IF(Calculations!$B30&lt;age_when_money_runs_out,Calculations!E30,"")</f>
        <v>102956.74540817674</v>
      </c>
      <c r="E30" s="17">
        <f>IF(Calculations!$B30&lt;age_when_money_runs_out,Calculations!F30,"")</f>
        <v>60772.455819174938</v>
      </c>
      <c r="F30" s="17">
        <f>IF(Calculations!$B30&lt;age_when_money_runs_out,Calculations!G30,"")</f>
        <v>1299564.5832708795</v>
      </c>
      <c r="G30" s="17">
        <f>IF(Calculations!$B30&lt;age_when_money_runs_out,Calculations!H30,"")</f>
        <v>51982.583330835179</v>
      </c>
      <c r="H30" s="17">
        <f>IF(Calculations!$B30&lt;age_when_money_runs_out,Calculations!I30,"")</f>
        <v>0</v>
      </c>
      <c r="I30" s="17">
        <f>IF(Calculations!$B30&lt;age_when_money_runs_out,Calculations!J30,"")</f>
        <v>1412319.6224208896</v>
      </c>
      <c r="J30" s="17">
        <f>IF(Calculations!$B30&lt;age_when_money_runs_out,Calculations!K30,"")</f>
        <v>112755.0391500101</v>
      </c>
    </row>
    <row r="31" spans="1:15" ht="18" x14ac:dyDescent="0.35">
      <c r="A31" s="2">
        <f>IF(Calculations!$B31&lt;age_when_money_runs_out,Calculations!B31,"")</f>
        <v>64</v>
      </c>
      <c r="B31" s="17">
        <f>IF(Calculations!$B31&lt;age_when_money_runs_out,Calculations!C31,"")</f>
        <v>218305.6016364689</v>
      </c>
      <c r="C31" s="17">
        <f>IF(Calculations!$B31&lt;age_when_money_runs_out,Calculations!D31,"")</f>
        <v>48027.232360023161</v>
      </c>
      <c r="D31" s="17">
        <f>IF(Calculations!$B31&lt;age_when_money_runs_out,Calculations!E31,"")</f>
        <v>106045.44777042203</v>
      </c>
      <c r="E31" s="17">
        <f>IF(Calculations!$B31&lt;age_when_money_runs_out,Calculations!F31,"")</f>
        <v>64232.921506023704</v>
      </c>
      <c r="F31" s="17">
        <f>IF(Calculations!$B31&lt;age_when_money_runs_out,Calculations!G31,"")</f>
        <v>1412319.6224208896</v>
      </c>
      <c r="G31" s="17">
        <f>IF(Calculations!$B31&lt;age_when_money_runs_out,Calculations!H31,"")</f>
        <v>56492.784896835583</v>
      </c>
      <c r="H31" s="17">
        <f>IF(Calculations!$B31&lt;age_when_money_runs_out,Calculations!I31,"")</f>
        <v>0</v>
      </c>
      <c r="I31" s="17">
        <f>IF(Calculations!$B31&lt;age_when_money_runs_out,Calculations!J31,"")</f>
        <v>1533045.328823749</v>
      </c>
      <c r="J31" s="17">
        <f>IF(Calculations!$B31&lt;age_when_money_runs_out,Calculations!K31,"")</f>
        <v>120725.70640285942</v>
      </c>
    </row>
    <row r="32" spans="1:15" ht="18" x14ac:dyDescent="0.35">
      <c r="A32" s="2">
        <f>IF(Calculations!$B32&lt;age_when_money_runs_out,Calculations!B32,"")</f>
        <v>65</v>
      </c>
      <c r="B32" s="17">
        <f>IF(Calculations!$B32&lt;age_when_money_runs_out,Calculations!C32,"")</f>
        <v>0</v>
      </c>
      <c r="C32" s="17">
        <f>IF(Calculations!$B32&lt;age_when_money_runs_out,Calculations!D32,"")</f>
        <v>0</v>
      </c>
      <c r="D32" s="17">
        <f>IF(Calculations!$B32&lt;age_when_money_runs_out,Calculations!E32,"")</f>
        <v>109226.8112035347</v>
      </c>
      <c r="E32" s="17">
        <f>IF(Calculations!$B32&lt;age_when_money_runs_out,Calculations!F32,"")</f>
        <v>0</v>
      </c>
      <c r="F32" s="17">
        <f>IF(Calculations!$B32&lt;age_when_money_runs_out,Calculations!G32,"")</f>
        <v>1533045.328823749</v>
      </c>
      <c r="G32" s="17">
        <f>IF(Calculations!$B32&lt;age_when_money_runs_out,Calculations!H32,"")</f>
        <v>91982.719729424934</v>
      </c>
      <c r="H32" s="17">
        <f>IF(Calculations!$B32&lt;age_when_money_runs_out,Calculations!I32,"")</f>
        <v>109226.8112035347</v>
      </c>
      <c r="I32" s="17">
        <f>IF(Calculations!$B32&lt;age_when_money_runs_out,Calculations!J32,"")</f>
        <v>1515801.2373496392</v>
      </c>
      <c r="J32" s="17">
        <f>IF(Calculations!$B32&lt;age_when_money_runs_out,Calculations!K32,"")</f>
        <v>-17244.091474109795</v>
      </c>
    </row>
    <row r="33" spans="1:10" ht="18" x14ac:dyDescent="0.35">
      <c r="A33" s="2">
        <f>IF(Calculations!$B33&lt;age_when_money_runs_out,Calculations!B33,"")</f>
        <v>66</v>
      </c>
      <c r="B33" s="17">
        <f>IF(Calculations!$B33&lt;age_when_money_runs_out,Calculations!C33,"")</f>
        <v>0</v>
      </c>
      <c r="C33" s="17">
        <f>IF(Calculations!$B33&lt;age_when_money_runs_out,Calculations!D33,"")</f>
        <v>0</v>
      </c>
      <c r="D33" s="17">
        <f>IF(Calculations!$B33&lt;age_when_money_runs_out,Calculations!E33,"")</f>
        <v>112503.61553964074</v>
      </c>
      <c r="E33" s="17">
        <f>IF(Calculations!$B33&lt;age_when_money_runs_out,Calculations!F33,"")</f>
        <v>0</v>
      </c>
      <c r="F33" s="17">
        <f>IF(Calculations!$B33&lt;age_when_money_runs_out,Calculations!G33,"")</f>
        <v>1515801.2373496392</v>
      </c>
      <c r="G33" s="17">
        <f>IF(Calculations!$B33&lt;age_when_money_runs_out,Calculations!H33,"")</f>
        <v>90948.074240978342</v>
      </c>
      <c r="H33" s="17">
        <f>IF(Calculations!$B33&lt;age_when_money_runs_out,Calculations!I33,"")</f>
        <v>112503.61553964074</v>
      </c>
      <c r="I33" s="17">
        <f>IF(Calculations!$B33&lt;age_when_money_runs_out,Calculations!J33,"")</f>
        <v>1494245.6960509769</v>
      </c>
      <c r="J33" s="17">
        <f>IF(Calculations!$B33&lt;age_when_money_runs_out,Calculations!K33,"")</f>
        <v>-21555.541298662312</v>
      </c>
    </row>
    <row r="34" spans="1:10" ht="18" x14ac:dyDescent="0.35">
      <c r="A34" s="2">
        <f>IF(Calculations!$B34&lt;age_when_money_runs_out,Calculations!B34,"")</f>
        <v>67</v>
      </c>
      <c r="B34" s="17">
        <f>IF(Calculations!$B34&lt;age_when_money_runs_out,Calculations!C34,"")</f>
        <v>0</v>
      </c>
      <c r="C34" s="17">
        <f>IF(Calculations!$B34&lt;age_when_money_runs_out,Calculations!D34,"")</f>
        <v>0</v>
      </c>
      <c r="D34" s="17">
        <f>IF(Calculations!$B34&lt;age_when_money_runs_out,Calculations!E34,"")</f>
        <v>115878.72400582996</v>
      </c>
      <c r="E34" s="17">
        <f>IF(Calculations!$B34&lt;age_when_money_runs_out,Calculations!F34,"")</f>
        <v>0</v>
      </c>
      <c r="F34" s="17">
        <f>IF(Calculations!$B34&lt;age_when_money_runs_out,Calculations!G34,"")</f>
        <v>1494245.6960509769</v>
      </c>
      <c r="G34" s="17">
        <f>IF(Calculations!$B34&lt;age_when_money_runs_out,Calculations!H34,"")</f>
        <v>89654.741763058613</v>
      </c>
      <c r="H34" s="17">
        <f>IF(Calculations!$B34&lt;age_when_money_runs_out,Calculations!I34,"")</f>
        <v>115878.72400582996</v>
      </c>
      <c r="I34" s="17">
        <f>IF(Calculations!$B34&lt;age_when_money_runs_out,Calculations!J34,"")</f>
        <v>1468021.7138082054</v>
      </c>
      <c r="J34" s="17">
        <f>IF(Calculations!$B34&lt;age_when_money_runs_out,Calculations!K34,"")</f>
        <v>-26223.982242771424</v>
      </c>
    </row>
    <row r="35" spans="1:10" ht="18" x14ac:dyDescent="0.35">
      <c r="A35" s="2">
        <f>IF(Calculations!$B35&lt;age_when_money_runs_out,Calculations!B35,"")</f>
        <v>68</v>
      </c>
      <c r="B35" s="17">
        <f>IF(Calculations!$B35&lt;age_when_money_runs_out,Calculations!C35,"")</f>
        <v>0</v>
      </c>
      <c r="C35" s="17">
        <f>IF(Calculations!$B35&lt;age_when_money_runs_out,Calculations!D35,"")</f>
        <v>0</v>
      </c>
      <c r="D35" s="17">
        <f>IF(Calculations!$B35&lt;age_when_money_runs_out,Calculations!E35,"")</f>
        <v>119355.08572600487</v>
      </c>
      <c r="E35" s="17">
        <f>IF(Calculations!$B35&lt;age_when_money_runs_out,Calculations!F35,"")</f>
        <v>0</v>
      </c>
      <c r="F35" s="17">
        <f>IF(Calculations!$B35&lt;age_when_money_runs_out,Calculations!G35,"")</f>
        <v>1468021.7138082054</v>
      </c>
      <c r="G35" s="17">
        <f>IF(Calculations!$B35&lt;age_when_money_runs_out,Calculations!H35,"")</f>
        <v>88081.30282849232</v>
      </c>
      <c r="H35" s="17">
        <f>IF(Calculations!$B35&lt;age_when_money_runs_out,Calculations!I35,"")</f>
        <v>119355.08572600487</v>
      </c>
      <c r="I35" s="17">
        <f>IF(Calculations!$B35&lt;age_when_money_runs_out,Calculations!J35,"")</f>
        <v>1436747.930910693</v>
      </c>
      <c r="J35" s="17">
        <f>IF(Calculations!$B35&lt;age_when_money_runs_out,Calculations!K35,"")</f>
        <v>-31273.782897512428</v>
      </c>
    </row>
    <row r="36" spans="1:10" ht="18" x14ac:dyDescent="0.35">
      <c r="A36" s="2">
        <f>IF(Calculations!$B36&lt;age_when_money_runs_out,Calculations!B36,"")</f>
        <v>69</v>
      </c>
      <c r="B36" s="17">
        <f>IF(Calculations!$B36&lt;age_when_money_runs_out,Calculations!C36,"")</f>
        <v>0</v>
      </c>
      <c r="C36" s="17">
        <f>IF(Calculations!$B36&lt;age_when_money_runs_out,Calculations!D36,"")</f>
        <v>0</v>
      </c>
      <c r="D36" s="17">
        <f>IF(Calculations!$B36&lt;age_when_money_runs_out,Calculations!E36,"")</f>
        <v>122935.73829778501</v>
      </c>
      <c r="E36" s="17">
        <f>IF(Calculations!$B36&lt;age_when_money_runs_out,Calculations!F36,"")</f>
        <v>0</v>
      </c>
      <c r="F36" s="17">
        <f>IF(Calculations!$B36&lt;age_when_money_runs_out,Calculations!G36,"")</f>
        <v>1436747.930910693</v>
      </c>
      <c r="G36" s="17">
        <f>IF(Calculations!$B36&lt;age_when_money_runs_out,Calculations!H36,"")</f>
        <v>86204.875854641577</v>
      </c>
      <c r="H36" s="17">
        <f>IF(Calculations!$B36&lt;age_when_money_runs_out,Calculations!I36,"")</f>
        <v>122935.73829778501</v>
      </c>
      <c r="I36" s="17">
        <f>IF(Calculations!$B36&lt;age_when_money_runs_out,Calculations!J36,"")</f>
        <v>1400017.0684675497</v>
      </c>
      <c r="J36" s="17">
        <f>IF(Calculations!$B36&lt;age_when_money_runs_out,Calculations!K36,"")</f>
        <v>-36730.862443143269</v>
      </c>
    </row>
    <row r="37" spans="1:10" ht="18" x14ac:dyDescent="0.35">
      <c r="A37" s="2">
        <f>IF(Calculations!$B37&lt;age_when_money_runs_out,Calculations!B37,"")</f>
        <v>70</v>
      </c>
      <c r="B37" s="17">
        <f>IF(Calculations!$B37&lt;age_when_money_runs_out,Calculations!C37,"")</f>
        <v>0</v>
      </c>
      <c r="C37" s="17">
        <f>IF(Calculations!$B37&lt;age_when_money_runs_out,Calculations!D37,"")</f>
        <v>0</v>
      </c>
      <c r="D37" s="17">
        <f>IF(Calculations!$B37&lt;age_when_money_runs_out,Calculations!E37,"")</f>
        <v>126623.81044671856</v>
      </c>
      <c r="E37" s="17">
        <f>IF(Calculations!$B37&lt;age_when_money_runs_out,Calculations!F37,"")</f>
        <v>0</v>
      </c>
      <c r="F37" s="17">
        <f>IF(Calculations!$B37&lt;age_when_money_runs_out,Calculations!G37,"")</f>
        <v>1400017.0684675497</v>
      </c>
      <c r="G37" s="17">
        <f>IF(Calculations!$B37&lt;age_when_money_runs_out,Calculations!H37,"")</f>
        <v>84001.024108052981</v>
      </c>
      <c r="H37" s="17">
        <f>IF(Calculations!$B37&lt;age_when_money_runs_out,Calculations!I37,"")</f>
        <v>126623.81044671856</v>
      </c>
      <c r="I37" s="17">
        <f>IF(Calculations!$B37&lt;age_when_money_runs_out,Calculations!J37,"")</f>
        <v>1357394.2821288842</v>
      </c>
      <c r="J37" s="17">
        <f>IF(Calculations!$B37&lt;age_when_money_runs_out,Calculations!K37,"")</f>
        <v>-42622.786338665523</v>
      </c>
    </row>
    <row r="38" spans="1:10" ht="18" x14ac:dyDescent="0.35">
      <c r="A38" s="2">
        <f>IF(Calculations!$B38&lt;age_when_money_runs_out,Calculations!B38,"")</f>
        <v>71</v>
      </c>
      <c r="B38" s="17">
        <f>IF(Calculations!$B38&lt;age_when_money_runs_out,Calculations!C38,"")</f>
        <v>0</v>
      </c>
      <c r="C38" s="17">
        <f>IF(Calculations!$B38&lt;age_when_money_runs_out,Calculations!D38,"")</f>
        <v>0</v>
      </c>
      <c r="D38" s="17">
        <f>IF(Calculations!$B38&lt;age_when_money_runs_out,Calculations!E38,"")</f>
        <v>130422.52476012011</v>
      </c>
      <c r="E38" s="17">
        <f>IF(Calculations!$B38&lt;age_when_money_runs_out,Calculations!F38,"")</f>
        <v>0</v>
      </c>
      <c r="F38" s="17">
        <f>IF(Calculations!$B38&lt;age_when_money_runs_out,Calculations!G38,"")</f>
        <v>1357394.2821288842</v>
      </c>
      <c r="G38" s="17">
        <f>IF(Calculations!$B38&lt;age_when_money_runs_out,Calculations!H38,"")</f>
        <v>81443.656927733056</v>
      </c>
      <c r="H38" s="17">
        <f>IF(Calculations!$B38&lt;age_when_money_runs_out,Calculations!I38,"")</f>
        <v>130422.52476012011</v>
      </c>
      <c r="I38" s="17">
        <f>IF(Calculations!$B38&lt;age_when_money_runs_out,Calculations!J38,"")</f>
        <v>1308415.4142964971</v>
      </c>
      <c r="J38" s="17">
        <f>IF(Calculations!$B38&lt;age_when_money_runs_out,Calculations!K38,"")</f>
        <v>-48978.867832387099</v>
      </c>
    </row>
    <row r="39" spans="1:10" ht="18" x14ac:dyDescent="0.35">
      <c r="A39" s="2">
        <f>IF(Calculations!$B39&lt;age_when_money_runs_out,Calculations!B39,"")</f>
        <v>72</v>
      </c>
      <c r="B39" s="17">
        <f>IF(Calculations!$B39&lt;age_when_money_runs_out,Calculations!C39,"")</f>
        <v>0</v>
      </c>
      <c r="C39" s="17">
        <f>IF(Calculations!$B39&lt;age_when_money_runs_out,Calculations!D39,"")</f>
        <v>0</v>
      </c>
      <c r="D39" s="17">
        <f>IF(Calculations!$B39&lt;age_when_money_runs_out,Calculations!E39,"")</f>
        <v>134335.20050292372</v>
      </c>
      <c r="E39" s="17">
        <f>IF(Calculations!$B39&lt;age_when_money_runs_out,Calculations!F39,"")</f>
        <v>0</v>
      </c>
      <c r="F39" s="17">
        <f>IF(Calculations!$B39&lt;age_when_money_runs_out,Calculations!G39,"")</f>
        <v>1308415.4142964971</v>
      </c>
      <c r="G39" s="17">
        <f>IF(Calculations!$B39&lt;age_when_money_runs_out,Calculations!H39,"")</f>
        <v>78504.924857789825</v>
      </c>
      <c r="H39" s="17">
        <f>IF(Calculations!$B39&lt;age_when_money_runs_out,Calculations!I39,"")</f>
        <v>134335.20050292372</v>
      </c>
      <c r="I39" s="17">
        <f>IF(Calculations!$B39&lt;age_when_money_runs_out,Calculations!J39,"")</f>
        <v>1252585.1386513633</v>
      </c>
      <c r="J39" s="17">
        <f>IF(Calculations!$B39&lt;age_when_money_runs_out,Calculations!K39,"")</f>
        <v>-55830.275645133806</v>
      </c>
    </row>
    <row r="40" spans="1:10" ht="18" x14ac:dyDescent="0.35">
      <c r="A40" s="2">
        <f>IF(Calculations!$B40&lt;age_when_money_runs_out,Calculations!B40,"")</f>
        <v>73</v>
      </c>
      <c r="B40" s="17">
        <f>IF(Calculations!$B40&lt;age_when_money_runs_out,Calculations!C40,"")</f>
        <v>0</v>
      </c>
      <c r="C40" s="17">
        <f>IF(Calculations!$B40&lt;age_when_money_runs_out,Calculations!D40,"")</f>
        <v>0</v>
      </c>
      <c r="D40" s="17">
        <f>IF(Calculations!$B40&lt;age_when_money_runs_out,Calculations!E40,"")</f>
        <v>138365.25651801142</v>
      </c>
      <c r="E40" s="17">
        <f>IF(Calculations!$B40&lt;age_when_money_runs_out,Calculations!F40,"")</f>
        <v>0</v>
      </c>
      <c r="F40" s="17">
        <f>IF(Calculations!$B40&lt;age_when_money_runs_out,Calculations!G40,"")</f>
        <v>1252585.1386513633</v>
      </c>
      <c r="G40" s="17">
        <f>IF(Calculations!$B40&lt;age_when_money_runs_out,Calculations!H40,"")</f>
        <v>75155.108319081803</v>
      </c>
      <c r="H40" s="17">
        <f>IF(Calculations!$B40&lt;age_when_money_runs_out,Calculations!I40,"")</f>
        <v>138365.25651801142</v>
      </c>
      <c r="I40" s="17">
        <f>IF(Calculations!$B40&lt;age_when_money_runs_out,Calculations!J40,"")</f>
        <v>1189374.9904524337</v>
      </c>
      <c r="J40" s="17">
        <f>IF(Calculations!$B40&lt;age_when_money_runs_out,Calculations!K40,"")</f>
        <v>-63210.148198929615</v>
      </c>
    </row>
    <row r="41" spans="1:10" ht="18" x14ac:dyDescent="0.35">
      <c r="A41" s="2">
        <f>IF(Calculations!$B41&lt;age_when_money_runs_out,Calculations!B41,"")</f>
        <v>74</v>
      </c>
      <c r="B41" s="17">
        <f>IF(Calculations!$B41&lt;age_when_money_runs_out,Calculations!C41,"")</f>
        <v>0</v>
      </c>
      <c r="C41" s="17">
        <f>IF(Calculations!$B41&lt;age_when_money_runs_out,Calculations!D41,"")</f>
        <v>0</v>
      </c>
      <c r="D41" s="17">
        <f>IF(Calculations!$B41&lt;age_when_money_runs_out,Calculations!E41,"")</f>
        <v>142516.21421355175</v>
      </c>
      <c r="E41" s="17">
        <f>IF(Calculations!$B41&lt;age_when_money_runs_out,Calculations!F41,"")</f>
        <v>0</v>
      </c>
      <c r="F41" s="17">
        <f>IF(Calculations!$B41&lt;age_when_money_runs_out,Calculations!G41,"")</f>
        <v>1189374.9904524337</v>
      </c>
      <c r="G41" s="17">
        <f>IF(Calculations!$B41&lt;age_when_money_runs_out,Calculations!H41,"")</f>
        <v>71362.499427146016</v>
      </c>
      <c r="H41" s="17">
        <f>IF(Calculations!$B41&lt;age_when_money_runs_out,Calculations!I41,"")</f>
        <v>142516.21421355175</v>
      </c>
      <c r="I41" s="17">
        <f>IF(Calculations!$B41&lt;age_when_money_runs_out,Calculations!J41,"")</f>
        <v>1118221.275666028</v>
      </c>
      <c r="J41" s="17">
        <f>IF(Calculations!$B41&lt;age_when_money_runs_out,Calculations!K41,"")</f>
        <v>-71153.714786405675</v>
      </c>
    </row>
    <row r="42" spans="1:10" ht="18" x14ac:dyDescent="0.35">
      <c r="A42" s="2">
        <f>IF(Calculations!$B42&lt;age_when_money_runs_out,Calculations!B42,"")</f>
        <v>75</v>
      </c>
      <c r="B42" s="17">
        <f>IF(Calculations!$B42&lt;age_when_money_runs_out,Calculations!C42,"")</f>
        <v>0</v>
      </c>
      <c r="C42" s="17">
        <f>IF(Calculations!$B42&lt;age_when_money_runs_out,Calculations!D42,"")</f>
        <v>0</v>
      </c>
      <c r="D42" s="17">
        <f>IF(Calculations!$B42&lt;age_when_money_runs_out,Calculations!E42,"")</f>
        <v>146791.70063995829</v>
      </c>
      <c r="E42" s="17">
        <f>IF(Calculations!$B42&lt;age_when_money_runs_out,Calculations!F42,"")</f>
        <v>0</v>
      </c>
      <c r="F42" s="17">
        <f>IF(Calculations!$B42&lt;age_when_money_runs_out,Calculations!G42,"")</f>
        <v>1118221.275666028</v>
      </c>
      <c r="G42" s="17">
        <f>IF(Calculations!$B42&lt;age_when_money_runs_out,Calculations!H42,"")</f>
        <v>67093.276539961676</v>
      </c>
      <c r="H42" s="17">
        <f>IF(Calculations!$B42&lt;age_when_money_runs_out,Calculations!I42,"")</f>
        <v>146791.70063995829</v>
      </c>
      <c r="I42" s="17">
        <f>IF(Calculations!$B42&lt;age_when_money_runs_out,Calculations!J42,"")</f>
        <v>1038522.8515660313</v>
      </c>
      <c r="J42" s="17">
        <f>IF(Calculations!$B42&lt;age_when_money_runs_out,Calculations!K42,"")</f>
        <v>-79698.424099996686</v>
      </c>
    </row>
    <row r="43" spans="1:10" ht="18" x14ac:dyDescent="0.35">
      <c r="A43" s="2">
        <f>IF(Calculations!$B43&lt;age_when_money_runs_out,Calculations!B43,"")</f>
        <v>76</v>
      </c>
      <c r="B43" s="17">
        <f>IF(Calculations!$B43&lt;age_when_money_runs_out,Calculations!C43,"")</f>
        <v>0</v>
      </c>
      <c r="C43" s="17">
        <f>IF(Calculations!$B43&lt;age_when_money_runs_out,Calculations!D43,"")</f>
        <v>0</v>
      </c>
      <c r="D43" s="17">
        <f>IF(Calculations!$B43&lt;age_when_money_runs_out,Calculations!E43,"")</f>
        <v>151195.45165915703</v>
      </c>
      <c r="E43" s="17">
        <f>IF(Calculations!$B43&lt;age_when_money_runs_out,Calculations!F43,"")</f>
        <v>0</v>
      </c>
      <c r="F43" s="17">
        <f>IF(Calculations!$B43&lt;age_when_money_runs_out,Calculations!G43,"")</f>
        <v>1038522.8515660313</v>
      </c>
      <c r="G43" s="17">
        <f>IF(Calculations!$B43&lt;age_when_money_runs_out,Calculations!H43,"")</f>
        <v>62311.371093961876</v>
      </c>
      <c r="H43" s="17">
        <f>IF(Calculations!$B43&lt;age_when_money_runs_out,Calculations!I43,"")</f>
        <v>151195.45165915703</v>
      </c>
      <c r="I43" s="17">
        <f>IF(Calculations!$B43&lt;age_when_money_runs_out,Calculations!J43,"")</f>
        <v>949638.77100083616</v>
      </c>
      <c r="J43" s="17">
        <f>IF(Calculations!$B43&lt;age_when_money_runs_out,Calculations!K43,"")</f>
        <v>-88884.080565195181</v>
      </c>
    </row>
    <row r="44" spans="1:10" ht="18" x14ac:dyDescent="0.35">
      <c r="A44" s="2">
        <f>IF(Calculations!$B44&lt;age_when_money_runs_out,Calculations!B44,"")</f>
        <v>77</v>
      </c>
      <c r="B44" s="17">
        <f>IF(Calculations!$B44&lt;age_when_money_runs_out,Calculations!C44,"")</f>
        <v>0</v>
      </c>
      <c r="C44" s="17">
        <f>IF(Calculations!$B44&lt;age_when_money_runs_out,Calculations!D44,"")</f>
        <v>0</v>
      </c>
      <c r="D44" s="17">
        <f>IF(Calculations!$B44&lt;age_when_money_runs_out,Calculations!E44,"")</f>
        <v>155731.31520893174</v>
      </c>
      <c r="E44" s="17">
        <f>IF(Calculations!$B44&lt;age_when_money_runs_out,Calculations!F44,"")</f>
        <v>0</v>
      </c>
      <c r="F44" s="17">
        <f>IF(Calculations!$B44&lt;age_when_money_runs_out,Calculations!G44,"")</f>
        <v>949638.77100083616</v>
      </c>
      <c r="G44" s="17">
        <f>IF(Calculations!$B44&lt;age_when_money_runs_out,Calculations!H44,"")</f>
        <v>56978.326260050169</v>
      </c>
      <c r="H44" s="17">
        <f>IF(Calculations!$B44&lt;age_when_money_runs_out,Calculations!I44,"")</f>
        <v>155731.31520893174</v>
      </c>
      <c r="I44" s="17">
        <f>IF(Calculations!$B44&lt;age_when_money_runs_out,Calculations!J44,"")</f>
        <v>850885.78205195465</v>
      </c>
      <c r="J44" s="17">
        <f>IF(Calculations!$B44&lt;age_when_money_runs_out,Calculations!K44,"")</f>
        <v>-98752.98894888151</v>
      </c>
    </row>
    <row r="45" spans="1:10" ht="18" x14ac:dyDescent="0.35">
      <c r="A45" s="2">
        <f>IF(Calculations!$B45&lt;age_when_money_runs_out,Calculations!B45,"")</f>
        <v>78</v>
      </c>
      <c r="B45" s="17">
        <f>IF(Calculations!$B45&lt;age_when_money_runs_out,Calculations!C45,"")</f>
        <v>0</v>
      </c>
      <c r="C45" s="17">
        <f>IF(Calculations!$B45&lt;age_when_money_runs_out,Calculations!D45,"")</f>
        <v>0</v>
      </c>
      <c r="D45" s="17">
        <f>IF(Calculations!$B45&lt;age_when_money_runs_out,Calculations!E45,"")</f>
        <v>160403.2546651997</v>
      </c>
      <c r="E45" s="17">
        <f>IF(Calculations!$B45&lt;age_when_money_runs_out,Calculations!F45,"")</f>
        <v>0</v>
      </c>
      <c r="F45" s="17">
        <f>IF(Calculations!$B45&lt;age_when_money_runs_out,Calculations!G45,"")</f>
        <v>850885.78205195465</v>
      </c>
      <c r="G45" s="17">
        <f>IF(Calculations!$B45&lt;age_when_money_runs_out,Calculations!H45,"")</f>
        <v>51053.146923117274</v>
      </c>
      <c r="H45" s="17">
        <f>IF(Calculations!$B45&lt;age_when_money_runs_out,Calculations!I45,"")</f>
        <v>160403.2546651997</v>
      </c>
      <c r="I45" s="17">
        <f>IF(Calculations!$B45&lt;age_when_money_runs_out,Calculations!J45,"")</f>
        <v>741535.67430987221</v>
      </c>
      <c r="J45" s="17">
        <f>IF(Calculations!$B45&lt;age_when_money_runs_out,Calculations!K45,"")</f>
        <v>-109350.10774208244</v>
      </c>
    </row>
    <row r="46" spans="1:10" ht="18" x14ac:dyDescent="0.35">
      <c r="A46" s="2">
        <f>IF(Calculations!$B46&lt;age_when_money_runs_out,Calculations!B46,"")</f>
        <v>79</v>
      </c>
      <c r="B46" s="17">
        <f>IF(Calculations!$B46&lt;age_when_money_runs_out,Calculations!C46,"")</f>
        <v>0</v>
      </c>
      <c r="C46" s="17">
        <f>IF(Calculations!$B46&lt;age_when_money_runs_out,Calculations!D46,"")</f>
        <v>0</v>
      </c>
      <c r="D46" s="17">
        <f>IF(Calculations!$B46&lt;age_when_money_runs_out,Calculations!E46,"")</f>
        <v>165215.35230515568</v>
      </c>
      <c r="E46" s="17">
        <f>IF(Calculations!$B46&lt;age_when_money_runs_out,Calculations!F46,"")</f>
        <v>0</v>
      </c>
      <c r="F46" s="17">
        <f>IF(Calculations!$B46&lt;age_when_money_runs_out,Calculations!G46,"")</f>
        <v>741535.67430987221</v>
      </c>
      <c r="G46" s="17">
        <f>IF(Calculations!$B46&lt;age_when_money_runs_out,Calculations!H46,"")</f>
        <v>44492.14045859233</v>
      </c>
      <c r="H46" s="17">
        <f>IF(Calculations!$B46&lt;age_when_money_runs_out,Calculations!I46,"")</f>
        <v>165215.35230515568</v>
      </c>
      <c r="I46" s="17">
        <f>IF(Calculations!$B46&lt;age_when_money_runs_out,Calculations!J46,"")</f>
        <v>620812.46246330882</v>
      </c>
      <c r="J46" s="17">
        <f>IF(Calculations!$B46&lt;age_when_money_runs_out,Calculations!K46,"")</f>
        <v>-120723.21184656338</v>
      </c>
    </row>
    <row r="47" spans="1:10" ht="18" x14ac:dyDescent="0.35">
      <c r="A47" s="2">
        <f>IF(Calculations!$B47&lt;age_when_money_runs_out,Calculations!B47,"")</f>
        <v>80</v>
      </c>
      <c r="B47" s="17">
        <f>IF(Calculations!$B47&lt;age_when_money_runs_out,Calculations!C47,"")</f>
        <v>0</v>
      </c>
      <c r="C47" s="17">
        <f>IF(Calculations!$B47&lt;age_when_money_runs_out,Calculations!D47,"")</f>
        <v>0</v>
      </c>
      <c r="D47" s="17">
        <f>IF(Calculations!$B47&lt;age_when_money_runs_out,Calculations!E47,"")</f>
        <v>170171.81287431036</v>
      </c>
      <c r="E47" s="17">
        <f>IF(Calculations!$B47&lt;age_when_money_runs_out,Calculations!F47,"")</f>
        <v>0</v>
      </c>
      <c r="F47" s="17">
        <f>IF(Calculations!$B47&lt;age_when_money_runs_out,Calculations!G47,"")</f>
        <v>620812.46246330882</v>
      </c>
      <c r="G47" s="17">
        <f>IF(Calculations!$B47&lt;age_when_money_runs_out,Calculations!H47,"")</f>
        <v>37248.74774779853</v>
      </c>
      <c r="H47" s="17">
        <f>IF(Calculations!$B47&lt;age_when_money_runs_out,Calculations!I47,"")</f>
        <v>170171.81287431036</v>
      </c>
      <c r="I47" s="17">
        <f>IF(Calculations!$B47&lt;age_when_money_runs_out,Calculations!J47,"")</f>
        <v>487889.39733679703</v>
      </c>
      <c r="J47" s="17">
        <f>IF(Calculations!$B47&lt;age_when_money_runs_out,Calculations!K47,"")</f>
        <v>-132923.06512651179</v>
      </c>
    </row>
    <row r="48" spans="1:10" ht="18" x14ac:dyDescent="0.35">
      <c r="A48" s="2">
        <f>IF(Calculations!$B48&lt;age_when_money_runs_out,Calculations!B48,"")</f>
        <v>81</v>
      </c>
      <c r="B48" s="17">
        <f>IF(Calculations!$B48&lt;age_when_money_runs_out,Calculations!C48,"")</f>
        <v>0</v>
      </c>
      <c r="C48" s="17">
        <f>IF(Calculations!$B48&lt;age_when_money_runs_out,Calculations!D48,"")</f>
        <v>0</v>
      </c>
      <c r="D48" s="17">
        <f>IF(Calculations!$B48&lt;age_when_money_runs_out,Calculations!E48,"")</f>
        <v>175276.96726053968</v>
      </c>
      <c r="E48" s="17">
        <f>IF(Calculations!$B48&lt;age_when_money_runs_out,Calculations!F48,"")</f>
        <v>0</v>
      </c>
      <c r="F48" s="17">
        <f>IF(Calculations!$B48&lt;age_when_money_runs_out,Calculations!G48,"")</f>
        <v>487889.39733679703</v>
      </c>
      <c r="G48" s="17">
        <f>IF(Calculations!$B48&lt;age_when_money_runs_out,Calculations!H48,"")</f>
        <v>29273.363840207821</v>
      </c>
      <c r="H48" s="17">
        <f>IF(Calculations!$B48&lt;age_when_money_runs_out,Calculations!I48,"")</f>
        <v>175276.96726053968</v>
      </c>
      <c r="I48" s="17">
        <f>IF(Calculations!$B48&lt;age_when_money_runs_out,Calculations!J48,"")</f>
        <v>341885.79391646513</v>
      </c>
      <c r="J48" s="17">
        <f>IF(Calculations!$B48&lt;age_when_money_runs_out,Calculations!K48,"")</f>
        <v>-146003.6034203319</v>
      </c>
    </row>
    <row r="49" spans="1:10" ht="18" x14ac:dyDescent="0.35">
      <c r="A49" s="2">
        <f>IF(Calculations!$B49&lt;age_when_money_runs_out,Calculations!B49,"")</f>
        <v>82</v>
      </c>
      <c r="B49" s="17">
        <f>IF(Calculations!$B49&lt;age_when_money_runs_out,Calculations!C49,"")</f>
        <v>0</v>
      </c>
      <c r="C49" s="17">
        <f>IF(Calculations!$B49&lt;age_when_money_runs_out,Calculations!D49,"")</f>
        <v>0</v>
      </c>
      <c r="D49" s="17">
        <f>IF(Calculations!$B49&lt;age_when_money_runs_out,Calculations!E49,"")</f>
        <v>180535.27627835586</v>
      </c>
      <c r="E49" s="17">
        <f>IF(Calculations!$B49&lt;age_when_money_runs_out,Calculations!F49,"")</f>
        <v>0</v>
      </c>
      <c r="F49" s="17">
        <f>IF(Calculations!$B49&lt;age_when_money_runs_out,Calculations!G49,"")</f>
        <v>341885.79391646513</v>
      </c>
      <c r="G49" s="17">
        <f>IF(Calculations!$B49&lt;age_when_money_runs_out,Calculations!H49,"")</f>
        <v>20513.147634987909</v>
      </c>
      <c r="H49" s="17">
        <f>IF(Calculations!$B49&lt;age_when_money_runs_out,Calculations!I49,"")</f>
        <v>180535.27627835586</v>
      </c>
      <c r="I49" s="17">
        <f>IF(Calculations!$B49&lt;age_when_money_runs_out,Calculations!J49,"")</f>
        <v>181863.66527309717</v>
      </c>
      <c r="J49" s="17">
        <f>IF(Calculations!$B49&lt;age_when_money_runs_out,Calculations!K49,"")</f>
        <v>-160022.12864336796</v>
      </c>
    </row>
    <row r="50" spans="1:10" ht="18" x14ac:dyDescent="0.35">
      <c r="A50" s="2">
        <f>IF(Calculations!$B50&lt;age_when_money_runs_out,Calculations!B50,"")</f>
        <v>83</v>
      </c>
      <c r="B50" s="17">
        <f>IF(Calculations!$B50&lt;age_when_money_runs_out,Calculations!C50,"")</f>
        <v>0</v>
      </c>
      <c r="C50" s="17">
        <f>IF(Calculations!$B50&lt;age_when_money_runs_out,Calculations!D50,"")</f>
        <v>0</v>
      </c>
      <c r="D50" s="17">
        <f>IF(Calculations!$B50&lt;age_when_money_runs_out,Calculations!E50,"")</f>
        <v>185951.33456670653</v>
      </c>
      <c r="E50" s="17">
        <f>IF(Calculations!$B50&lt;age_when_money_runs_out,Calculations!F50,"")</f>
        <v>0</v>
      </c>
      <c r="F50" s="17">
        <f>IF(Calculations!$B50&lt;age_when_money_runs_out,Calculations!G50,"")</f>
        <v>181863.66527309717</v>
      </c>
      <c r="G50" s="17">
        <f>IF(Calculations!$B50&lt;age_when_money_runs_out,Calculations!H50,"")</f>
        <v>10911.81991638583</v>
      </c>
      <c r="H50" s="17">
        <f>IF(Calculations!$B50&lt;age_when_money_runs_out,Calculations!I50,"")</f>
        <v>185951.33456670653</v>
      </c>
      <c r="I50" s="17">
        <f>IF(Calculations!$B50&lt;age_when_money_runs_out,Calculations!J50,"")</f>
        <v>6824.1506227764767</v>
      </c>
      <c r="J50" s="17">
        <f>IF(Calculations!$B50&lt;age_when_money_runs_out,Calculations!K50,"")</f>
        <v>-175039.51465032069</v>
      </c>
    </row>
    <row r="51" spans="1:10" ht="18" x14ac:dyDescent="0.35">
      <c r="A51" s="2" t="str">
        <f>IF(Calculations!$B51&lt;age_when_money_runs_out,Calculations!B51,"")</f>
        <v/>
      </c>
      <c r="B51" s="17" t="str">
        <f>IF(Calculations!$B51&lt;age_when_money_runs_out,Calculations!C51,"")</f>
        <v/>
      </c>
      <c r="C51" s="17" t="str">
        <f>IF(Calculations!$B51&lt;age_when_money_runs_out,Calculations!D51,"")</f>
        <v/>
      </c>
      <c r="D51" s="17" t="str">
        <f>IF(Calculations!$B51&lt;age_when_money_runs_out,Calculations!E51,"")</f>
        <v/>
      </c>
      <c r="E51" s="17" t="str">
        <f>IF(Calculations!$B51&lt;age_when_money_runs_out,Calculations!F51,"")</f>
        <v/>
      </c>
      <c r="F51" s="17" t="str">
        <f>IF(Calculations!$B51&lt;age_when_money_runs_out,Calculations!G51,"")</f>
        <v/>
      </c>
      <c r="G51" s="17" t="str">
        <f>IF(Calculations!$B51&lt;age_when_money_runs_out,Calculations!H51,"")</f>
        <v/>
      </c>
      <c r="H51" s="17" t="str">
        <f>IF(Calculations!$B51&lt;age_when_money_runs_out,Calculations!I51,"")</f>
        <v/>
      </c>
      <c r="I51" s="17" t="str">
        <f>IF(Calculations!$B51&lt;age_when_money_runs_out,Calculations!J51,"")</f>
        <v/>
      </c>
      <c r="J51" s="17" t="str">
        <f>IF(Calculations!$B51&lt;age_when_money_runs_out,Calculations!K51,"")</f>
        <v/>
      </c>
    </row>
    <row r="52" spans="1:10" ht="18" x14ac:dyDescent="0.35">
      <c r="A52" s="2" t="str">
        <f>IF(Calculations!$B52&lt;age_when_money_runs_out,Calculations!B52,"")</f>
        <v/>
      </c>
      <c r="B52" s="17" t="str">
        <f>IF(Calculations!$B52&lt;age_when_money_runs_out,Calculations!C52,"")</f>
        <v/>
      </c>
      <c r="C52" s="17" t="str">
        <f>IF(Calculations!$B52&lt;age_when_money_runs_out,Calculations!D52,"")</f>
        <v/>
      </c>
      <c r="D52" s="17" t="str">
        <f>IF(Calculations!$B52&lt;age_when_money_runs_out,Calculations!E52,"")</f>
        <v/>
      </c>
      <c r="E52" s="17" t="str">
        <f>IF(Calculations!$B52&lt;age_when_money_runs_out,Calculations!F52,"")</f>
        <v/>
      </c>
      <c r="F52" s="17" t="str">
        <f>IF(Calculations!$B52&lt;age_when_money_runs_out,Calculations!G52,"")</f>
        <v/>
      </c>
      <c r="G52" s="17" t="str">
        <f>IF(Calculations!$B52&lt;age_when_money_runs_out,Calculations!H52,"")</f>
        <v/>
      </c>
      <c r="H52" s="17" t="str">
        <f>IF(Calculations!$B52&lt;age_when_money_runs_out,Calculations!I52,"")</f>
        <v/>
      </c>
      <c r="I52" s="17" t="str">
        <f>IF(Calculations!$B52&lt;age_when_money_runs_out,Calculations!J52,"")</f>
        <v/>
      </c>
      <c r="J52" s="17" t="str">
        <f>IF(Calculations!$B52&lt;age_when_money_runs_out,Calculations!K52,"")</f>
        <v/>
      </c>
    </row>
    <row r="53" spans="1:10" ht="18" x14ac:dyDescent="0.35">
      <c r="A53" s="2" t="str">
        <f>IF(Calculations!$B53&lt;age_when_money_runs_out,Calculations!B53,"")</f>
        <v/>
      </c>
      <c r="B53" s="17" t="str">
        <f>IF(Calculations!$B53&lt;age_when_money_runs_out,Calculations!C53,"")</f>
        <v/>
      </c>
      <c r="C53" s="17" t="str">
        <f>IF(Calculations!$B53&lt;age_when_money_runs_out,Calculations!D53,"")</f>
        <v/>
      </c>
      <c r="D53" s="17" t="str">
        <f>IF(Calculations!$B53&lt;age_when_money_runs_out,Calculations!E53,"")</f>
        <v/>
      </c>
      <c r="E53" s="17" t="str">
        <f>IF(Calculations!$B53&lt;age_when_money_runs_out,Calculations!F53,"")</f>
        <v/>
      </c>
      <c r="F53" s="17" t="str">
        <f>IF(Calculations!$B53&lt;age_when_money_runs_out,Calculations!G53,"")</f>
        <v/>
      </c>
      <c r="G53" s="17" t="str">
        <f>IF(Calculations!$B53&lt;age_when_money_runs_out,Calculations!H53,"")</f>
        <v/>
      </c>
      <c r="H53" s="17" t="str">
        <f>IF(Calculations!$B53&lt;age_when_money_runs_out,Calculations!I53,"")</f>
        <v/>
      </c>
      <c r="I53" s="17" t="str">
        <f>IF(Calculations!$B53&lt;age_when_money_runs_out,Calculations!J53,"")</f>
        <v/>
      </c>
      <c r="J53" s="17" t="str">
        <f>IF(Calculations!$B53&lt;age_when_money_runs_out,Calculations!K53,"")</f>
        <v/>
      </c>
    </row>
    <row r="54" spans="1:10" ht="18" x14ac:dyDescent="0.35">
      <c r="A54" s="2" t="str">
        <f>IF(Calculations!$B54&lt;age_when_money_runs_out,Calculations!B54,"")</f>
        <v/>
      </c>
      <c r="B54" s="17" t="str">
        <f>IF(Calculations!$B54&lt;age_when_money_runs_out,Calculations!C54,"")</f>
        <v/>
      </c>
      <c r="C54" s="17" t="str">
        <f>IF(Calculations!$B54&lt;age_when_money_runs_out,Calculations!D54,"")</f>
        <v/>
      </c>
      <c r="D54" s="17" t="str">
        <f>IF(Calculations!$B54&lt;age_when_money_runs_out,Calculations!E54,"")</f>
        <v/>
      </c>
      <c r="E54" s="17" t="str">
        <f>IF(Calculations!$B54&lt;age_when_money_runs_out,Calculations!F54,"")</f>
        <v/>
      </c>
      <c r="F54" s="17" t="str">
        <f>IF(Calculations!$B54&lt;age_when_money_runs_out,Calculations!G54,"")</f>
        <v/>
      </c>
      <c r="G54" s="17" t="str">
        <f>IF(Calculations!$B54&lt;age_when_money_runs_out,Calculations!H54,"")</f>
        <v/>
      </c>
      <c r="H54" s="17" t="str">
        <f>IF(Calculations!$B54&lt;age_when_money_runs_out,Calculations!I54,"")</f>
        <v/>
      </c>
      <c r="I54" s="17" t="str">
        <f>IF(Calculations!$B54&lt;age_when_money_runs_out,Calculations!J54,"")</f>
        <v/>
      </c>
      <c r="J54" s="17" t="str">
        <f>IF(Calculations!$B54&lt;age_when_money_runs_out,Calculations!K54,"")</f>
        <v/>
      </c>
    </row>
    <row r="55" spans="1:10" ht="18" x14ac:dyDescent="0.35">
      <c r="A55" s="2" t="str">
        <f>IF(Calculations!$B55&lt;age_when_money_runs_out,Calculations!B55,"")</f>
        <v/>
      </c>
      <c r="B55" s="17" t="str">
        <f>IF(Calculations!$B55&lt;age_when_money_runs_out,Calculations!C55,"")</f>
        <v/>
      </c>
      <c r="C55" s="17" t="str">
        <f>IF(Calculations!$B55&lt;age_when_money_runs_out,Calculations!D55,"")</f>
        <v/>
      </c>
      <c r="D55" s="17" t="str">
        <f>IF(Calculations!$B55&lt;age_when_money_runs_out,Calculations!E55,"")</f>
        <v/>
      </c>
      <c r="E55" s="17" t="str">
        <f>IF(Calculations!$B55&lt;age_when_money_runs_out,Calculations!F55,"")</f>
        <v/>
      </c>
      <c r="F55" s="17" t="str">
        <f>IF(Calculations!$B55&lt;age_when_money_runs_out,Calculations!G55,"")</f>
        <v/>
      </c>
      <c r="G55" s="17" t="str">
        <f>IF(Calculations!$B55&lt;age_when_money_runs_out,Calculations!H55,"")</f>
        <v/>
      </c>
      <c r="H55" s="17" t="str">
        <f>IF(Calculations!$B55&lt;age_when_money_runs_out,Calculations!I55,"")</f>
        <v/>
      </c>
      <c r="I55" s="17" t="str">
        <f>IF(Calculations!$B55&lt;age_when_money_runs_out,Calculations!J55,"")</f>
        <v/>
      </c>
      <c r="J55" s="17" t="str">
        <f>IF(Calculations!$B55&lt;age_when_money_runs_out,Calculations!K55,"")</f>
        <v/>
      </c>
    </row>
    <row r="56" spans="1:10" ht="18" x14ac:dyDescent="0.35">
      <c r="A56" s="2" t="str">
        <f>IF(Calculations!$B56&lt;age_when_money_runs_out,Calculations!B56,"")</f>
        <v/>
      </c>
      <c r="B56" s="17" t="str">
        <f>IF(Calculations!$B56&lt;age_when_money_runs_out,Calculations!C56,"")</f>
        <v/>
      </c>
      <c r="C56" s="17" t="str">
        <f>IF(Calculations!$B56&lt;age_when_money_runs_out,Calculations!D56,"")</f>
        <v/>
      </c>
      <c r="D56" s="17" t="str">
        <f>IF(Calculations!$B56&lt;age_when_money_runs_out,Calculations!E56,"")</f>
        <v/>
      </c>
      <c r="E56" s="17" t="str">
        <f>IF(Calculations!$B56&lt;age_when_money_runs_out,Calculations!F56,"")</f>
        <v/>
      </c>
      <c r="F56" s="17" t="str">
        <f>IF(Calculations!$B56&lt;age_when_money_runs_out,Calculations!G56,"")</f>
        <v/>
      </c>
      <c r="G56" s="17" t="str">
        <f>IF(Calculations!$B56&lt;age_when_money_runs_out,Calculations!H56,"")</f>
        <v/>
      </c>
      <c r="H56" s="17" t="str">
        <f>IF(Calculations!$B56&lt;age_when_money_runs_out,Calculations!I56,"")</f>
        <v/>
      </c>
      <c r="I56" s="17" t="str">
        <f>IF(Calculations!$B56&lt;age_when_money_runs_out,Calculations!J56,"")</f>
        <v/>
      </c>
      <c r="J56" s="17" t="str">
        <f>IF(Calculations!$B56&lt;age_when_money_runs_out,Calculations!K56,"")</f>
        <v/>
      </c>
    </row>
    <row r="57" spans="1:10" ht="18" x14ac:dyDescent="0.35">
      <c r="A57" s="2" t="str">
        <f>IF(Calculations!$B57&lt;age_when_money_runs_out,Calculations!B57,"")</f>
        <v/>
      </c>
      <c r="B57" s="17" t="str">
        <f>IF(Calculations!$B57&lt;age_when_money_runs_out,Calculations!C57,"")</f>
        <v/>
      </c>
      <c r="C57" s="17" t="str">
        <f>IF(Calculations!$B57&lt;age_when_money_runs_out,Calculations!D57,"")</f>
        <v/>
      </c>
      <c r="D57" s="17" t="str">
        <f>IF(Calculations!$B57&lt;age_when_money_runs_out,Calculations!E57,"")</f>
        <v/>
      </c>
      <c r="E57" s="17" t="str">
        <f>IF(Calculations!$B57&lt;age_when_money_runs_out,Calculations!F57,"")</f>
        <v/>
      </c>
      <c r="F57" s="17" t="str">
        <f>IF(Calculations!$B57&lt;age_when_money_runs_out,Calculations!G57,"")</f>
        <v/>
      </c>
      <c r="G57" s="17" t="str">
        <f>IF(Calculations!$B57&lt;age_when_money_runs_out,Calculations!H57,"")</f>
        <v/>
      </c>
      <c r="H57" s="17" t="str">
        <f>IF(Calculations!$B57&lt;age_when_money_runs_out,Calculations!I57,"")</f>
        <v/>
      </c>
      <c r="I57" s="17" t="str">
        <f>IF(Calculations!$B57&lt;age_when_money_runs_out,Calculations!J57,"")</f>
        <v/>
      </c>
      <c r="J57" s="17" t="str">
        <f>IF(Calculations!$B57&lt;age_when_money_runs_out,Calculations!K57,"")</f>
        <v/>
      </c>
    </row>
    <row r="58" spans="1:10" ht="18" x14ac:dyDescent="0.35">
      <c r="A58" s="2" t="str">
        <f>IF(Calculations!$B58&lt;age_when_money_runs_out,Calculations!B58,"")</f>
        <v/>
      </c>
      <c r="B58" s="17" t="str">
        <f>IF(Calculations!$B58&lt;age_when_money_runs_out,Calculations!C58,"")</f>
        <v/>
      </c>
      <c r="C58" s="17" t="str">
        <f>IF(Calculations!$B58&lt;age_when_money_runs_out,Calculations!D58,"")</f>
        <v/>
      </c>
      <c r="D58" s="17" t="str">
        <f>IF(Calculations!$B58&lt;age_when_money_runs_out,Calculations!E58,"")</f>
        <v/>
      </c>
      <c r="E58" s="17" t="str">
        <f>IF(Calculations!$B58&lt;age_when_money_runs_out,Calculations!F58,"")</f>
        <v/>
      </c>
      <c r="F58" s="17" t="str">
        <f>IF(Calculations!$B58&lt;age_when_money_runs_out,Calculations!G58,"")</f>
        <v/>
      </c>
      <c r="G58" s="17" t="str">
        <f>IF(Calculations!$B58&lt;age_when_money_runs_out,Calculations!H58,"")</f>
        <v/>
      </c>
      <c r="H58" s="17" t="str">
        <f>IF(Calculations!$B58&lt;age_when_money_runs_out,Calculations!I58,"")</f>
        <v/>
      </c>
      <c r="I58" s="17" t="str">
        <f>IF(Calculations!$B58&lt;age_when_money_runs_out,Calculations!J58,"")</f>
        <v/>
      </c>
      <c r="J58" s="17" t="str">
        <f>IF(Calculations!$B58&lt;age_when_money_runs_out,Calculations!K58,"")</f>
        <v/>
      </c>
    </row>
    <row r="59" spans="1:10" ht="18" x14ac:dyDescent="0.35">
      <c r="A59" s="2" t="str">
        <f>IF(Calculations!$B59&lt;age_when_money_runs_out,Calculations!B59,"")</f>
        <v/>
      </c>
      <c r="B59" s="17" t="str">
        <f>IF(Calculations!$B59&lt;age_when_money_runs_out,Calculations!C59,"")</f>
        <v/>
      </c>
      <c r="C59" s="17" t="str">
        <f>IF(Calculations!$B59&lt;age_when_money_runs_out,Calculations!D59,"")</f>
        <v/>
      </c>
      <c r="D59" s="17" t="str">
        <f>IF(Calculations!$B59&lt;age_when_money_runs_out,Calculations!E59,"")</f>
        <v/>
      </c>
      <c r="E59" s="17" t="str">
        <f>IF(Calculations!$B59&lt;age_when_money_runs_out,Calculations!F59,"")</f>
        <v/>
      </c>
      <c r="F59" s="17" t="str">
        <f>IF(Calculations!$B59&lt;age_when_money_runs_out,Calculations!G59,"")</f>
        <v/>
      </c>
      <c r="G59" s="17" t="str">
        <f>IF(Calculations!$B59&lt;age_when_money_runs_out,Calculations!H59,"")</f>
        <v/>
      </c>
      <c r="H59" s="17" t="str">
        <f>IF(Calculations!$B59&lt;age_when_money_runs_out,Calculations!I59,"")</f>
        <v/>
      </c>
      <c r="I59" s="17" t="str">
        <f>IF(Calculations!$B59&lt;age_when_money_runs_out,Calculations!J59,"")</f>
        <v/>
      </c>
      <c r="J59" s="17" t="str">
        <f>IF(Calculations!$B59&lt;age_when_money_runs_out,Calculations!K59,"")</f>
        <v/>
      </c>
    </row>
    <row r="60" spans="1:10" ht="18" x14ac:dyDescent="0.35">
      <c r="A60" s="2" t="str">
        <f>IF(Calculations!$B60&lt;age_when_money_runs_out,Calculations!B60,"")</f>
        <v/>
      </c>
      <c r="B60" s="17" t="str">
        <f>IF(Calculations!$B60&lt;age_when_money_runs_out,Calculations!C60,"")</f>
        <v/>
      </c>
      <c r="C60" s="17" t="str">
        <f>IF(Calculations!$B60&lt;age_when_money_runs_out,Calculations!D60,"")</f>
        <v/>
      </c>
      <c r="D60" s="17" t="str">
        <f>IF(Calculations!$B60&lt;age_when_money_runs_out,Calculations!E60,"")</f>
        <v/>
      </c>
      <c r="E60" s="17" t="str">
        <f>IF(Calculations!$B60&lt;age_when_money_runs_out,Calculations!F60,"")</f>
        <v/>
      </c>
      <c r="F60" s="17" t="str">
        <f>IF(Calculations!$B60&lt;age_when_money_runs_out,Calculations!G60,"")</f>
        <v/>
      </c>
      <c r="G60" s="17" t="str">
        <f>IF(Calculations!$B60&lt;age_when_money_runs_out,Calculations!H60,"")</f>
        <v/>
      </c>
      <c r="H60" s="17" t="str">
        <f>IF(Calculations!$B60&lt;age_when_money_runs_out,Calculations!I60,"")</f>
        <v/>
      </c>
      <c r="I60" s="17" t="str">
        <f>IF(Calculations!$B60&lt;age_when_money_runs_out,Calculations!J60,"")</f>
        <v/>
      </c>
      <c r="J60" s="17" t="str">
        <f>IF(Calculations!$B60&lt;age_when_money_runs_out,Calculations!K60,"")</f>
        <v/>
      </c>
    </row>
    <row r="61" spans="1:10" ht="18" x14ac:dyDescent="0.35">
      <c r="A61" s="2" t="str">
        <f>IF(Calculations!$B61&lt;age_when_money_runs_out,Calculations!B61,"")</f>
        <v/>
      </c>
      <c r="B61" s="17" t="str">
        <f>IF(Calculations!$B61&lt;age_when_money_runs_out,Calculations!C61,"")</f>
        <v/>
      </c>
      <c r="C61" s="17" t="str">
        <f>IF(Calculations!$B61&lt;age_when_money_runs_out,Calculations!D61,"")</f>
        <v/>
      </c>
      <c r="D61" s="17" t="str">
        <f>IF(Calculations!$B61&lt;age_when_money_runs_out,Calculations!E61,"")</f>
        <v/>
      </c>
      <c r="E61" s="17" t="str">
        <f>IF(Calculations!$B61&lt;age_when_money_runs_out,Calculations!F61,"")</f>
        <v/>
      </c>
      <c r="F61" s="17" t="str">
        <f>IF(Calculations!$B61&lt;age_when_money_runs_out,Calculations!G61,"")</f>
        <v/>
      </c>
      <c r="G61" s="17" t="str">
        <f>IF(Calculations!$B61&lt;age_when_money_runs_out,Calculations!H61,"")</f>
        <v/>
      </c>
      <c r="H61" s="17" t="str">
        <f>IF(Calculations!$B61&lt;age_when_money_runs_out,Calculations!I61,"")</f>
        <v/>
      </c>
      <c r="I61" s="17" t="str">
        <f>IF(Calculations!$B61&lt;age_when_money_runs_out,Calculations!J61,"")</f>
        <v/>
      </c>
      <c r="J61" s="17" t="str">
        <f>IF(Calculations!$B61&lt;age_when_money_runs_out,Calculations!K61,"")</f>
        <v/>
      </c>
    </row>
    <row r="62" spans="1:10" ht="18" x14ac:dyDescent="0.35">
      <c r="A62" s="2" t="str">
        <f>IF(Calculations!$B62&lt;age_when_money_runs_out,Calculations!B62,"")</f>
        <v/>
      </c>
      <c r="B62" s="17" t="str">
        <f>IF(Calculations!$B62&lt;age_when_money_runs_out,Calculations!C62,"")</f>
        <v/>
      </c>
      <c r="C62" s="17" t="str">
        <f>IF(Calculations!$B62&lt;age_when_money_runs_out,Calculations!D62,"")</f>
        <v/>
      </c>
      <c r="D62" s="17" t="str">
        <f>IF(Calculations!$B62&lt;age_when_money_runs_out,Calculations!E62,"")</f>
        <v/>
      </c>
      <c r="E62" s="17" t="str">
        <f>IF(Calculations!$B62&lt;age_when_money_runs_out,Calculations!F62,"")</f>
        <v/>
      </c>
      <c r="F62" s="17" t="str">
        <f>IF(Calculations!$B62&lt;age_when_money_runs_out,Calculations!G62,"")</f>
        <v/>
      </c>
      <c r="G62" s="17" t="str">
        <f>IF(Calculations!$B62&lt;age_when_money_runs_out,Calculations!H62,"")</f>
        <v/>
      </c>
      <c r="H62" s="17" t="str">
        <f>IF(Calculations!$B62&lt;age_when_money_runs_out,Calculations!I62,"")</f>
        <v/>
      </c>
      <c r="I62" s="17" t="str">
        <f>IF(Calculations!$B62&lt;age_when_money_runs_out,Calculations!J62,"")</f>
        <v/>
      </c>
      <c r="J62" s="17" t="str">
        <f>IF(Calculations!$B62&lt;age_when_money_runs_out,Calculations!K62,"")</f>
        <v/>
      </c>
    </row>
    <row r="63" spans="1:10" ht="18" x14ac:dyDescent="0.35">
      <c r="A63" s="2" t="str">
        <f>IF(Calculations!$B63&lt;age_when_money_runs_out,Calculations!B63,"")</f>
        <v/>
      </c>
      <c r="B63" s="17" t="str">
        <f>IF(Calculations!$B63&lt;age_when_money_runs_out,Calculations!C63,"")</f>
        <v/>
      </c>
      <c r="C63" s="17" t="str">
        <f>IF(Calculations!$B63&lt;age_when_money_runs_out,Calculations!D63,"")</f>
        <v/>
      </c>
      <c r="D63" s="17" t="str">
        <f>IF(Calculations!$B63&lt;age_when_money_runs_out,Calculations!E63,"")</f>
        <v/>
      </c>
      <c r="E63" s="17" t="str">
        <f>IF(Calculations!$B63&lt;age_when_money_runs_out,Calculations!F63,"")</f>
        <v/>
      </c>
      <c r="F63" s="17" t="str">
        <f>IF(Calculations!$B63&lt;age_when_money_runs_out,Calculations!G63,"")</f>
        <v/>
      </c>
      <c r="G63" s="17" t="str">
        <f>IF(Calculations!$B63&lt;age_when_money_runs_out,Calculations!H63,"")</f>
        <v/>
      </c>
      <c r="H63" s="17" t="str">
        <f>IF(Calculations!$B63&lt;age_when_money_runs_out,Calculations!I63,"")</f>
        <v/>
      </c>
      <c r="I63" s="17" t="str">
        <f>IF(Calculations!$B63&lt;age_when_money_runs_out,Calculations!J63,"")</f>
        <v/>
      </c>
      <c r="J63" s="17" t="str">
        <f>IF(Calculations!$B63&lt;age_when_money_runs_out,Calculations!K63,"")</f>
        <v/>
      </c>
    </row>
    <row r="64" spans="1:10" ht="18" x14ac:dyDescent="0.35">
      <c r="A64" s="2" t="str">
        <f>IF(Calculations!$B64&lt;age_when_money_runs_out,Calculations!B64,"")</f>
        <v/>
      </c>
      <c r="B64" s="17" t="str">
        <f>IF(Calculations!$B64&lt;age_when_money_runs_out,Calculations!C64,"")</f>
        <v/>
      </c>
      <c r="C64" s="17" t="str">
        <f>IF(Calculations!$B64&lt;age_when_money_runs_out,Calculations!D64,"")</f>
        <v/>
      </c>
      <c r="D64" s="17" t="str">
        <f>IF(Calculations!$B64&lt;age_when_money_runs_out,Calculations!E64,"")</f>
        <v/>
      </c>
      <c r="E64" s="17" t="str">
        <f>IF(Calculations!$B64&lt;age_when_money_runs_out,Calculations!F64,"")</f>
        <v/>
      </c>
      <c r="F64" s="17" t="str">
        <f>IF(Calculations!$B64&lt;age_when_money_runs_out,Calculations!G64,"")</f>
        <v/>
      </c>
      <c r="G64" s="17" t="str">
        <f>IF(Calculations!$B64&lt;age_when_money_runs_out,Calculations!H64,"")</f>
        <v/>
      </c>
      <c r="H64" s="17" t="str">
        <f>IF(Calculations!$B64&lt;age_when_money_runs_out,Calculations!I64,"")</f>
        <v/>
      </c>
      <c r="I64" s="17" t="str">
        <f>IF(Calculations!$B64&lt;age_when_money_runs_out,Calculations!J64,"")</f>
        <v/>
      </c>
      <c r="J64" s="17" t="str">
        <f>IF(Calculations!$B64&lt;age_when_money_runs_out,Calculations!K64,"")</f>
        <v/>
      </c>
    </row>
    <row r="65" spans="1:10" ht="18" x14ac:dyDescent="0.35">
      <c r="A65" s="2" t="str">
        <f>IF(Calculations!$B65&lt;age_when_money_runs_out,Calculations!B65,"")</f>
        <v/>
      </c>
      <c r="B65" s="17" t="str">
        <f>IF(Calculations!$B65&lt;age_when_money_runs_out,Calculations!C65,"")</f>
        <v/>
      </c>
      <c r="C65" s="17" t="str">
        <f>IF(Calculations!$B65&lt;age_when_money_runs_out,Calculations!D65,"")</f>
        <v/>
      </c>
      <c r="D65" s="17" t="str">
        <f>IF(Calculations!$B65&lt;age_when_money_runs_out,Calculations!E65,"")</f>
        <v/>
      </c>
      <c r="E65" s="17" t="str">
        <f>IF(Calculations!$B65&lt;age_when_money_runs_out,Calculations!F65,"")</f>
        <v/>
      </c>
      <c r="F65" s="17" t="str">
        <f>IF(Calculations!$B65&lt;age_when_money_runs_out,Calculations!G65,"")</f>
        <v/>
      </c>
      <c r="G65" s="17" t="str">
        <f>IF(Calculations!$B65&lt;age_when_money_runs_out,Calculations!H65,"")</f>
        <v/>
      </c>
      <c r="H65" s="17" t="str">
        <f>IF(Calculations!$B65&lt;age_when_money_runs_out,Calculations!I65,"")</f>
        <v/>
      </c>
      <c r="I65" s="17" t="str">
        <f>IF(Calculations!$B65&lt;age_when_money_runs_out,Calculations!J65,"")</f>
        <v/>
      </c>
      <c r="J65" s="17" t="str">
        <f>IF(Calculations!$B65&lt;age_when_money_runs_out,Calculations!K65,"")</f>
        <v/>
      </c>
    </row>
    <row r="66" spans="1:10" ht="18" x14ac:dyDescent="0.35">
      <c r="A66" s="2" t="str">
        <f>IF(Calculations!$B66&lt;age_when_money_runs_out,Calculations!B66,"")</f>
        <v/>
      </c>
      <c r="B66" s="17" t="str">
        <f>IF(Calculations!$B66&lt;age_when_money_runs_out,Calculations!C66,"")</f>
        <v/>
      </c>
      <c r="C66" s="17" t="str">
        <f>IF(Calculations!$B66&lt;age_when_money_runs_out,Calculations!D66,"")</f>
        <v/>
      </c>
      <c r="D66" s="17" t="str">
        <f>IF(Calculations!$B66&lt;age_when_money_runs_out,Calculations!E66,"")</f>
        <v/>
      </c>
      <c r="E66" s="17" t="str">
        <f>IF(Calculations!$B66&lt;age_when_money_runs_out,Calculations!F66,"")</f>
        <v/>
      </c>
      <c r="F66" s="17" t="str">
        <f>IF(Calculations!$B66&lt;age_when_money_runs_out,Calculations!G66,"")</f>
        <v/>
      </c>
      <c r="G66" s="17" t="str">
        <f>IF(Calculations!$B66&lt;age_when_money_runs_out,Calculations!H66,"")</f>
        <v/>
      </c>
      <c r="H66" s="17" t="str">
        <f>IF(Calculations!$B66&lt;age_when_money_runs_out,Calculations!I66,"")</f>
        <v/>
      </c>
      <c r="I66" s="17" t="str">
        <f>IF(Calculations!$B66&lt;age_when_money_runs_out,Calculations!J66,"")</f>
        <v/>
      </c>
      <c r="J66" s="17" t="str">
        <f>IF(Calculations!$B66&lt;age_when_money_runs_out,Calculations!K66,"")</f>
        <v/>
      </c>
    </row>
    <row r="67" spans="1:10" ht="18" x14ac:dyDescent="0.35">
      <c r="A67" s="2" t="str">
        <f>IF(Calculations!$B67&lt;age_when_money_runs_out,Calculations!B67,"")</f>
        <v/>
      </c>
      <c r="B67" s="17" t="str">
        <f>IF(Calculations!$B67&lt;age_when_money_runs_out,Calculations!C67,"")</f>
        <v/>
      </c>
      <c r="C67" s="17" t="str">
        <f>IF(Calculations!$B67&lt;age_when_money_runs_out,Calculations!D67,"")</f>
        <v/>
      </c>
      <c r="D67" s="17" t="str">
        <f>IF(Calculations!$B67&lt;age_when_money_runs_out,Calculations!E67,"")</f>
        <v/>
      </c>
      <c r="E67" s="17" t="str">
        <f>IF(Calculations!$B67&lt;age_when_money_runs_out,Calculations!F67,"")</f>
        <v/>
      </c>
      <c r="F67" s="17" t="str">
        <f>IF(Calculations!$B67&lt;age_when_money_runs_out,Calculations!G67,"")</f>
        <v/>
      </c>
      <c r="G67" s="17" t="str">
        <f>IF(Calculations!$B67&lt;age_when_money_runs_out,Calculations!H67,"")</f>
        <v/>
      </c>
      <c r="H67" s="17" t="str">
        <f>IF(Calculations!$B67&lt;age_when_money_runs_out,Calculations!I67,"")</f>
        <v/>
      </c>
      <c r="I67" s="17" t="str">
        <f>IF(Calculations!$B67&lt;age_when_money_runs_out,Calculations!J67,"")</f>
        <v/>
      </c>
      <c r="J67" s="17" t="str">
        <f>IF(Calculations!$B67&lt;age_when_money_runs_out,Calculations!K67,"")</f>
        <v/>
      </c>
    </row>
    <row r="68" spans="1:10" ht="18" x14ac:dyDescent="0.35">
      <c r="A68" s="2" t="str">
        <f>IF(Calculations!$B68&lt;age_when_money_runs_out,Calculations!B68,"")</f>
        <v/>
      </c>
      <c r="B68" s="17" t="str">
        <f>IF(Calculations!$B68&lt;age_when_money_runs_out,Calculations!C68,"")</f>
        <v/>
      </c>
      <c r="C68" s="17" t="str">
        <f>IF(Calculations!$B68&lt;age_when_money_runs_out,Calculations!D68,"")</f>
        <v/>
      </c>
      <c r="D68" s="17" t="str">
        <f>IF(Calculations!$B68&lt;age_when_money_runs_out,Calculations!E68,"")</f>
        <v/>
      </c>
      <c r="E68" s="17" t="str">
        <f>IF(Calculations!$B68&lt;age_when_money_runs_out,Calculations!F68,"")</f>
        <v/>
      </c>
      <c r="F68" s="17" t="str">
        <f>IF(Calculations!$B68&lt;age_when_money_runs_out,Calculations!G68,"")</f>
        <v/>
      </c>
      <c r="G68" s="17" t="str">
        <f>IF(Calculations!$B68&lt;age_when_money_runs_out,Calculations!H68,"")</f>
        <v/>
      </c>
      <c r="H68" s="17" t="str">
        <f>IF(Calculations!$B68&lt;age_when_money_runs_out,Calculations!I68,"")</f>
        <v/>
      </c>
      <c r="I68" s="17" t="str">
        <f>IF(Calculations!$B68&lt;age_when_money_runs_out,Calculations!J68,"")</f>
        <v/>
      </c>
      <c r="J68" s="17" t="str">
        <f>IF(Calculations!$B68&lt;age_when_money_runs_out,Calculations!K68,"")</f>
        <v/>
      </c>
    </row>
    <row r="69" spans="1:10" ht="18" x14ac:dyDescent="0.35">
      <c r="A69" s="2" t="str">
        <f>IF(Calculations!$B69&lt;age_when_money_runs_out,Calculations!B69,"")</f>
        <v/>
      </c>
      <c r="B69" s="17" t="str">
        <f>IF(Calculations!$B69&lt;age_when_money_runs_out,Calculations!C69,"")</f>
        <v/>
      </c>
      <c r="C69" s="17" t="str">
        <f>IF(Calculations!$B69&lt;age_when_money_runs_out,Calculations!D69,"")</f>
        <v/>
      </c>
      <c r="D69" s="17" t="str">
        <f>IF(Calculations!$B69&lt;age_when_money_runs_out,Calculations!E69,"")</f>
        <v/>
      </c>
      <c r="E69" s="17" t="str">
        <f>IF(Calculations!$B69&lt;age_when_money_runs_out,Calculations!F69,"")</f>
        <v/>
      </c>
      <c r="F69" s="17" t="str">
        <f>IF(Calculations!$B69&lt;age_when_money_runs_out,Calculations!G69,"")</f>
        <v/>
      </c>
      <c r="G69" s="17" t="str">
        <f>IF(Calculations!$B69&lt;age_when_money_runs_out,Calculations!H69,"")</f>
        <v/>
      </c>
      <c r="H69" s="17" t="str">
        <f>IF(Calculations!$B69&lt;age_when_money_runs_out,Calculations!I69,"")</f>
        <v/>
      </c>
      <c r="I69" s="17" t="str">
        <f>IF(Calculations!$B69&lt;age_when_money_runs_out,Calculations!J69,"")</f>
        <v/>
      </c>
      <c r="J69" s="17" t="str">
        <f>IF(Calculations!$B69&lt;age_when_money_runs_out,Calculations!K69,"")</f>
        <v/>
      </c>
    </row>
    <row r="70" spans="1:10" ht="18" x14ac:dyDescent="0.35">
      <c r="A70" s="2" t="str">
        <f>IF(Calculations!$B70&lt;age_when_money_runs_out,Calculations!B70,"")</f>
        <v/>
      </c>
      <c r="B70" s="17" t="str">
        <f>IF(Calculations!$B70&lt;age_when_money_runs_out,Calculations!C70,"")</f>
        <v/>
      </c>
      <c r="C70" s="17" t="str">
        <f>IF(Calculations!$B70&lt;age_when_money_runs_out,Calculations!D70,"")</f>
        <v/>
      </c>
      <c r="D70" s="17" t="str">
        <f>IF(Calculations!$B70&lt;age_when_money_runs_out,Calculations!E70,"")</f>
        <v/>
      </c>
      <c r="E70" s="17" t="str">
        <f>IF(Calculations!$B70&lt;age_when_money_runs_out,Calculations!F70,"")</f>
        <v/>
      </c>
      <c r="F70" s="17" t="str">
        <f>IF(Calculations!$B70&lt;age_when_money_runs_out,Calculations!G70,"")</f>
        <v/>
      </c>
      <c r="G70" s="17" t="str">
        <f>IF(Calculations!$B70&lt;age_when_money_runs_out,Calculations!H70,"")</f>
        <v/>
      </c>
      <c r="H70" s="17" t="str">
        <f>IF(Calculations!$B70&lt;age_when_money_runs_out,Calculations!I70,"")</f>
        <v/>
      </c>
      <c r="I70" s="17" t="str">
        <f>IF(Calculations!$B70&lt;age_when_money_runs_out,Calculations!J70,"")</f>
        <v/>
      </c>
      <c r="J70" s="17" t="str">
        <f>IF(Calculations!$B70&lt;age_when_money_runs_out,Calculations!K70,"")</f>
        <v/>
      </c>
    </row>
    <row r="71" spans="1:10" ht="18" x14ac:dyDescent="0.35">
      <c r="A71" s="2" t="str">
        <f>IF(Calculations!$B71&lt;age_when_money_runs_out,Calculations!B71,"")</f>
        <v/>
      </c>
      <c r="B71" s="17" t="str">
        <f>IF(Calculations!$B71&lt;age_when_money_runs_out,Calculations!C71,"")</f>
        <v/>
      </c>
      <c r="C71" s="17" t="str">
        <f>IF(Calculations!$B71&lt;age_when_money_runs_out,Calculations!D71,"")</f>
        <v/>
      </c>
      <c r="D71" s="17" t="str">
        <f>IF(Calculations!$B71&lt;age_when_money_runs_out,Calculations!E71,"")</f>
        <v/>
      </c>
      <c r="E71" s="17" t="str">
        <f>IF(Calculations!$B71&lt;age_when_money_runs_out,Calculations!F71,"")</f>
        <v/>
      </c>
      <c r="F71" s="17" t="str">
        <f>IF(Calculations!$B71&lt;age_when_money_runs_out,Calculations!G71,"")</f>
        <v/>
      </c>
      <c r="G71" s="17" t="str">
        <f>IF(Calculations!$B71&lt;age_when_money_runs_out,Calculations!H71,"")</f>
        <v/>
      </c>
      <c r="H71" s="17" t="str">
        <f>IF(Calculations!$B71&lt;age_when_money_runs_out,Calculations!I71,"")</f>
        <v/>
      </c>
      <c r="I71" s="17" t="str">
        <f>IF(Calculations!$B71&lt;age_when_money_runs_out,Calculations!J71,"")</f>
        <v/>
      </c>
      <c r="J71" s="17" t="str">
        <f>IF(Calculations!$B71&lt;age_when_money_runs_out,Calculations!K71,"")</f>
        <v/>
      </c>
    </row>
    <row r="72" spans="1:10" ht="18" x14ac:dyDescent="0.35">
      <c r="A72" s="2" t="str">
        <f>IF(Calculations!$B72&lt;age_when_money_runs_out,Calculations!B72,"")</f>
        <v/>
      </c>
      <c r="B72" s="17" t="str">
        <f>IF(Calculations!$B72&lt;age_when_money_runs_out,Calculations!C72,"")</f>
        <v/>
      </c>
      <c r="C72" s="17" t="str">
        <f>IF(Calculations!$B72&lt;age_when_money_runs_out,Calculations!D72,"")</f>
        <v/>
      </c>
      <c r="D72" s="17" t="str">
        <f>IF(Calculations!$B72&lt;age_when_money_runs_out,Calculations!E72,"")</f>
        <v/>
      </c>
      <c r="E72" s="17" t="str">
        <f>IF(Calculations!$B72&lt;age_when_money_runs_out,Calculations!F72,"")</f>
        <v/>
      </c>
      <c r="F72" s="17" t="str">
        <f>IF(Calculations!$B72&lt;age_when_money_runs_out,Calculations!G72,"")</f>
        <v/>
      </c>
      <c r="G72" s="17" t="str">
        <f>IF(Calculations!$B72&lt;age_when_money_runs_out,Calculations!H72,"")</f>
        <v/>
      </c>
      <c r="H72" s="17" t="str">
        <f>IF(Calculations!$B72&lt;age_when_money_runs_out,Calculations!I72,"")</f>
        <v/>
      </c>
      <c r="I72" s="17" t="str">
        <f>IF(Calculations!$B72&lt;age_when_money_runs_out,Calculations!J72,"")</f>
        <v/>
      </c>
      <c r="J72" s="17" t="str">
        <f>IF(Calculations!$B72&lt;age_when_money_runs_out,Calculations!K72,"")</f>
        <v/>
      </c>
    </row>
    <row r="73" spans="1:10" ht="18" x14ac:dyDescent="0.35">
      <c r="A73" s="2" t="str">
        <f>IF(Calculations!$B73&lt;age_when_money_runs_out,Calculations!B73,"")</f>
        <v/>
      </c>
      <c r="B73" s="17" t="str">
        <f>IF(Calculations!$B73&lt;age_when_money_runs_out,Calculations!C73,"")</f>
        <v/>
      </c>
      <c r="C73" s="17" t="str">
        <f>IF(Calculations!$B73&lt;age_when_money_runs_out,Calculations!D73,"")</f>
        <v/>
      </c>
      <c r="D73" s="17" t="str">
        <f>IF(Calculations!$B73&lt;age_when_money_runs_out,Calculations!E73,"")</f>
        <v/>
      </c>
      <c r="E73" s="17" t="str">
        <f>IF(Calculations!$B73&lt;age_when_money_runs_out,Calculations!F73,"")</f>
        <v/>
      </c>
      <c r="F73" s="17" t="str">
        <f>IF(Calculations!$B73&lt;age_when_money_runs_out,Calculations!G73,"")</f>
        <v/>
      </c>
      <c r="G73" s="17" t="str">
        <f>IF(Calculations!$B73&lt;age_when_money_runs_out,Calculations!H73,"")</f>
        <v/>
      </c>
      <c r="H73" s="17" t="str">
        <f>IF(Calculations!$B73&lt;age_when_money_runs_out,Calculations!I73,"")</f>
        <v/>
      </c>
      <c r="I73" s="17" t="str">
        <f>IF(Calculations!$B73&lt;age_when_money_runs_out,Calculations!J73,"")</f>
        <v/>
      </c>
      <c r="J73" s="17" t="str">
        <f>IF(Calculations!$B73&lt;age_when_money_runs_out,Calculations!K73,"")</f>
        <v/>
      </c>
    </row>
    <row r="74" spans="1:10" ht="18" x14ac:dyDescent="0.35">
      <c r="A74" s="2" t="str">
        <f>IF(Calculations!$B74&lt;age_when_money_runs_out,Calculations!B74,"")</f>
        <v/>
      </c>
      <c r="B74" s="17" t="str">
        <f>IF(Calculations!$B74&lt;age_when_money_runs_out,Calculations!C74,"")</f>
        <v/>
      </c>
      <c r="C74" s="17" t="str">
        <f>IF(Calculations!$B74&lt;age_when_money_runs_out,Calculations!D74,"")</f>
        <v/>
      </c>
      <c r="D74" s="17" t="str">
        <f>IF(Calculations!$B74&lt;age_when_money_runs_out,Calculations!E74,"")</f>
        <v/>
      </c>
      <c r="E74" s="17" t="str">
        <f>IF(Calculations!$B74&lt;age_when_money_runs_out,Calculations!F74,"")</f>
        <v/>
      </c>
      <c r="F74" s="17" t="str">
        <f>IF(Calculations!$B74&lt;age_when_money_runs_out,Calculations!G74,"")</f>
        <v/>
      </c>
      <c r="G74" s="17" t="str">
        <f>IF(Calculations!$B74&lt;age_when_money_runs_out,Calculations!H74,"")</f>
        <v/>
      </c>
      <c r="H74" s="17" t="str">
        <f>IF(Calculations!$B74&lt;age_when_money_runs_out,Calculations!I74,"")</f>
        <v/>
      </c>
      <c r="I74" s="17" t="str">
        <f>IF(Calculations!$B74&lt;age_when_money_runs_out,Calculations!J74,"")</f>
        <v/>
      </c>
      <c r="J74" s="17" t="str">
        <f>IF(Calculations!$B74&lt;age_when_money_runs_out,Calculations!K74,"")</f>
        <v/>
      </c>
    </row>
    <row r="75" spans="1:10" ht="18" x14ac:dyDescent="0.35">
      <c r="A75" s="2" t="str">
        <f>IF(Calculations!$B75&lt;age_when_money_runs_out,Calculations!B75,"")</f>
        <v/>
      </c>
      <c r="B75" s="17" t="str">
        <f>IF(Calculations!$B75&lt;age_when_money_runs_out,Calculations!C75,"")</f>
        <v/>
      </c>
      <c r="C75" s="17" t="str">
        <f>IF(Calculations!$B75&lt;age_when_money_runs_out,Calculations!D75,"")</f>
        <v/>
      </c>
      <c r="D75" s="17" t="str">
        <f>IF(Calculations!$B75&lt;age_when_money_runs_out,Calculations!E75,"")</f>
        <v/>
      </c>
      <c r="E75" s="17" t="str">
        <f>IF(Calculations!$B75&lt;age_when_money_runs_out,Calculations!F75,"")</f>
        <v/>
      </c>
      <c r="F75" s="17" t="str">
        <f>IF(Calculations!$B75&lt;age_when_money_runs_out,Calculations!G75,"")</f>
        <v/>
      </c>
      <c r="G75" s="17" t="str">
        <f>IF(Calculations!$B75&lt;age_when_money_runs_out,Calculations!H75,"")</f>
        <v/>
      </c>
      <c r="H75" s="17" t="str">
        <f>IF(Calculations!$B75&lt;age_when_money_runs_out,Calculations!I75,"")</f>
        <v/>
      </c>
      <c r="I75" s="17" t="str">
        <f>IF(Calculations!$B75&lt;age_when_money_runs_out,Calculations!J75,"")</f>
        <v/>
      </c>
      <c r="J75" s="17" t="str">
        <f>IF(Calculations!$B75&lt;age_when_money_runs_out,Calculations!K75,"")</f>
        <v/>
      </c>
    </row>
    <row r="76" spans="1:10" ht="18" x14ac:dyDescent="0.35">
      <c r="A76" s="2" t="str">
        <f>IF(Calculations!$B76&lt;age_when_money_runs_out,Calculations!B76,"")</f>
        <v/>
      </c>
      <c r="B76" s="17" t="str">
        <f>IF(Calculations!$B76&lt;age_when_money_runs_out,Calculations!C76,"")</f>
        <v/>
      </c>
      <c r="C76" s="17" t="str">
        <f>IF(Calculations!$B76&lt;age_when_money_runs_out,Calculations!D76,"")</f>
        <v/>
      </c>
      <c r="D76" s="17" t="str">
        <f>IF(Calculations!$B76&lt;age_when_money_runs_out,Calculations!E76,"")</f>
        <v/>
      </c>
      <c r="E76" s="17" t="str">
        <f>IF(Calculations!$B76&lt;age_when_money_runs_out,Calculations!F76,"")</f>
        <v/>
      </c>
      <c r="F76" s="17" t="str">
        <f>IF(Calculations!$B76&lt;age_when_money_runs_out,Calculations!G76,"")</f>
        <v/>
      </c>
      <c r="G76" s="17" t="str">
        <f>IF(Calculations!$B76&lt;age_when_money_runs_out,Calculations!H76,"")</f>
        <v/>
      </c>
      <c r="H76" s="17" t="str">
        <f>IF(Calculations!$B76&lt;age_when_money_runs_out,Calculations!I76,"")</f>
        <v/>
      </c>
      <c r="I76" s="17" t="str">
        <f>IF(Calculations!$B76&lt;age_when_money_runs_out,Calculations!J76,"")</f>
        <v/>
      </c>
      <c r="J76" s="17" t="str">
        <f>IF(Calculations!$B76&lt;age_when_money_runs_out,Calculations!K76,"")</f>
        <v/>
      </c>
    </row>
    <row r="77" spans="1:10" ht="18" x14ac:dyDescent="0.35">
      <c r="A77" s="2" t="str">
        <f>IF(Calculations!$B77&lt;age_when_money_runs_out,Calculations!B77,"")</f>
        <v/>
      </c>
      <c r="B77" s="17" t="str">
        <f>IF(Calculations!$B77&lt;age_when_money_runs_out,Calculations!C77,"")</f>
        <v/>
      </c>
      <c r="C77" s="17" t="str">
        <f>IF(Calculations!$B77&lt;age_when_money_runs_out,Calculations!D77,"")</f>
        <v/>
      </c>
      <c r="D77" s="17" t="str">
        <f>IF(Calculations!$B77&lt;age_when_money_runs_out,Calculations!E77,"")</f>
        <v/>
      </c>
      <c r="E77" s="17" t="str">
        <f>IF(Calculations!$B77&lt;age_when_money_runs_out,Calculations!F77,"")</f>
        <v/>
      </c>
      <c r="F77" s="17" t="str">
        <f>IF(Calculations!$B77&lt;age_when_money_runs_out,Calculations!G77,"")</f>
        <v/>
      </c>
      <c r="G77" s="17" t="str">
        <f>IF(Calculations!$B77&lt;age_when_money_runs_out,Calculations!H77,"")</f>
        <v/>
      </c>
      <c r="H77" s="17" t="str">
        <f>IF(Calculations!$B77&lt;age_when_money_runs_out,Calculations!I77,"")</f>
        <v/>
      </c>
      <c r="I77" s="17" t="str">
        <f>IF(Calculations!$B77&lt;age_when_money_runs_out,Calculations!J77,"")</f>
        <v/>
      </c>
      <c r="J77" s="17" t="str">
        <f>IF(Calculations!$B77&lt;age_when_money_runs_out,Calculations!K77,"")</f>
        <v/>
      </c>
    </row>
    <row r="78" spans="1:10" ht="18" x14ac:dyDescent="0.35">
      <c r="A78" s="2" t="str">
        <f>IF(Calculations!$B78&lt;age_when_money_runs_out,Calculations!B78,"")</f>
        <v/>
      </c>
      <c r="B78" s="17" t="str">
        <f>IF(Calculations!$B78&lt;age_when_money_runs_out,Calculations!C78,"")</f>
        <v/>
      </c>
      <c r="C78" s="17" t="str">
        <f>IF(Calculations!$B78&lt;age_when_money_runs_out,Calculations!D78,"")</f>
        <v/>
      </c>
      <c r="D78" s="17" t="str">
        <f>IF(Calculations!$B78&lt;age_when_money_runs_out,Calculations!E78,"")</f>
        <v/>
      </c>
      <c r="E78" s="17" t="str">
        <f>IF(Calculations!$B78&lt;age_when_money_runs_out,Calculations!F78,"")</f>
        <v/>
      </c>
      <c r="F78" s="17" t="str">
        <f>IF(Calculations!$B78&lt;age_when_money_runs_out,Calculations!G78,"")</f>
        <v/>
      </c>
      <c r="G78" s="17" t="str">
        <f>IF(Calculations!$B78&lt;age_when_money_runs_out,Calculations!H78,"")</f>
        <v/>
      </c>
      <c r="H78" s="17" t="str">
        <f>IF(Calculations!$B78&lt;age_when_money_runs_out,Calculations!I78,"")</f>
        <v/>
      </c>
      <c r="I78" s="17" t="str">
        <f>IF(Calculations!$B78&lt;age_when_money_runs_out,Calculations!J78,"")</f>
        <v/>
      </c>
      <c r="J78" s="17" t="str">
        <f>IF(Calculations!$B78&lt;age_when_money_runs_out,Calculations!K78,"")</f>
        <v/>
      </c>
    </row>
    <row r="79" spans="1:10" ht="18" x14ac:dyDescent="0.35">
      <c r="A79" s="2" t="str">
        <f>IF(Calculations!$B79&lt;age_when_money_runs_out,Calculations!B79,"")</f>
        <v/>
      </c>
      <c r="B79" s="17" t="str">
        <f>IF(Calculations!$B79&lt;age_when_money_runs_out,Calculations!C79,"")</f>
        <v/>
      </c>
      <c r="C79" s="17" t="str">
        <f>IF(Calculations!$B79&lt;age_when_money_runs_out,Calculations!D79,"")</f>
        <v/>
      </c>
      <c r="D79" s="17" t="str">
        <f>IF(Calculations!$B79&lt;age_when_money_runs_out,Calculations!E79,"")</f>
        <v/>
      </c>
      <c r="E79" s="17" t="str">
        <f>IF(Calculations!$B79&lt;age_when_money_runs_out,Calculations!F79,"")</f>
        <v/>
      </c>
      <c r="F79" s="17" t="str">
        <f>IF(Calculations!$B79&lt;age_when_money_runs_out,Calculations!G79,"")</f>
        <v/>
      </c>
      <c r="G79" s="17" t="str">
        <f>IF(Calculations!$B79&lt;age_when_money_runs_out,Calculations!H79,"")</f>
        <v/>
      </c>
      <c r="H79" s="17" t="str">
        <f>IF(Calculations!$B79&lt;age_when_money_runs_out,Calculations!I79,"")</f>
        <v/>
      </c>
      <c r="I79" s="17" t="str">
        <f>IF(Calculations!$B79&lt;age_when_money_runs_out,Calculations!J79,"")</f>
        <v/>
      </c>
      <c r="J79" s="17" t="str">
        <f>IF(Calculations!$B79&lt;age_when_money_runs_out,Calculations!K79,"")</f>
        <v/>
      </c>
    </row>
    <row r="80" spans="1:10" ht="18" x14ac:dyDescent="0.35">
      <c r="A80" s="2" t="str">
        <f>IF(Calculations!$B80&lt;age_when_money_runs_out,Calculations!B80,"")</f>
        <v/>
      </c>
      <c r="B80" s="17" t="str">
        <f>IF(Calculations!$B80&lt;age_when_money_runs_out,Calculations!C80,"")</f>
        <v/>
      </c>
      <c r="C80" s="17" t="str">
        <f>IF(Calculations!$B80&lt;age_when_money_runs_out,Calculations!D80,"")</f>
        <v/>
      </c>
      <c r="D80" s="17" t="str">
        <f>IF(Calculations!$B80&lt;age_when_money_runs_out,Calculations!E80,"")</f>
        <v/>
      </c>
      <c r="E80" s="17" t="str">
        <f>IF(Calculations!$B80&lt;age_when_money_runs_out,Calculations!F80,"")</f>
        <v/>
      </c>
      <c r="F80" s="17" t="str">
        <f>IF(Calculations!$B80&lt;age_when_money_runs_out,Calculations!G80,"")</f>
        <v/>
      </c>
      <c r="G80" s="17" t="str">
        <f>IF(Calculations!$B80&lt;age_when_money_runs_out,Calculations!H80,"")</f>
        <v/>
      </c>
      <c r="H80" s="17" t="str">
        <f>IF(Calculations!$B80&lt;age_when_money_runs_out,Calculations!I80,"")</f>
        <v/>
      </c>
      <c r="I80" s="17" t="str">
        <f>IF(Calculations!$B80&lt;age_when_money_runs_out,Calculations!J80,"")</f>
        <v/>
      </c>
      <c r="J80" s="17" t="str">
        <f>IF(Calculations!$B80&lt;age_when_money_runs_out,Calculations!K80,"")</f>
        <v/>
      </c>
    </row>
    <row r="81" spans="1:10" ht="18" x14ac:dyDescent="0.35">
      <c r="A81" s="2" t="str">
        <f>IF(Calculations!$B81&lt;age_when_money_runs_out,Calculations!B81,"")</f>
        <v/>
      </c>
      <c r="B81" s="17" t="str">
        <f>IF(Calculations!$B81&lt;age_when_money_runs_out,Calculations!C81,"")</f>
        <v/>
      </c>
      <c r="C81" s="17" t="str">
        <f>IF(Calculations!$B81&lt;age_when_money_runs_out,Calculations!D81,"")</f>
        <v/>
      </c>
      <c r="D81" s="17" t="str">
        <f>IF(Calculations!$B81&lt;age_when_money_runs_out,Calculations!E81,"")</f>
        <v/>
      </c>
      <c r="E81" s="17" t="str">
        <f>IF(Calculations!$B81&lt;age_when_money_runs_out,Calculations!F81,"")</f>
        <v/>
      </c>
      <c r="F81" s="17" t="str">
        <f>IF(Calculations!$B81&lt;age_when_money_runs_out,Calculations!G81,"")</f>
        <v/>
      </c>
      <c r="G81" s="17" t="str">
        <f>IF(Calculations!$B81&lt;age_when_money_runs_out,Calculations!H81,"")</f>
        <v/>
      </c>
      <c r="H81" s="17" t="str">
        <f>IF(Calculations!$B81&lt;age_when_money_runs_out,Calculations!I81,"")</f>
        <v/>
      </c>
      <c r="I81" s="17" t="str">
        <f>IF(Calculations!$B81&lt;age_when_money_runs_out,Calculations!J81,"")</f>
        <v/>
      </c>
      <c r="J81" s="17" t="str">
        <f>IF(Calculations!$B81&lt;age_when_money_runs_out,Calculations!K81,"")</f>
        <v/>
      </c>
    </row>
    <row r="82" spans="1:10" ht="18" x14ac:dyDescent="0.35">
      <c r="A82" s="2" t="str">
        <f>IF(Calculations!$B82&lt;age_when_money_runs_out,Calculations!B82,"")</f>
        <v/>
      </c>
      <c r="B82" s="17" t="str">
        <f>IF(Calculations!$B82&lt;age_when_money_runs_out,Calculations!C82,"")</f>
        <v/>
      </c>
      <c r="C82" s="17" t="str">
        <f>IF(Calculations!$B82&lt;age_when_money_runs_out,Calculations!D82,"")</f>
        <v/>
      </c>
      <c r="D82" s="17" t="str">
        <f>IF(Calculations!$B82&lt;age_when_money_runs_out,Calculations!E82,"")</f>
        <v/>
      </c>
      <c r="E82" s="17" t="str">
        <f>IF(Calculations!$B82&lt;age_when_money_runs_out,Calculations!F82,"")</f>
        <v/>
      </c>
      <c r="F82" s="17" t="str">
        <f>IF(Calculations!$B82&lt;age_when_money_runs_out,Calculations!G82,"")</f>
        <v/>
      </c>
      <c r="G82" s="17" t="str">
        <f>IF(Calculations!$B82&lt;age_when_money_runs_out,Calculations!H82,"")</f>
        <v/>
      </c>
      <c r="H82" s="17" t="str">
        <f>IF(Calculations!$B82&lt;age_when_money_runs_out,Calculations!I82,"")</f>
        <v/>
      </c>
      <c r="I82" s="17" t="str">
        <f>IF(Calculations!$B82&lt;age_when_money_runs_out,Calculations!J82,"")</f>
        <v/>
      </c>
      <c r="J82" s="17" t="str">
        <f>IF(Calculations!$B82&lt;age_when_money_runs_out,Calculations!K82,"")</f>
        <v/>
      </c>
    </row>
    <row r="83" spans="1:10" ht="18" x14ac:dyDescent="0.35">
      <c r="A83" s="2" t="str">
        <f>IF(Calculations!$B83&lt;age_when_money_runs_out,Calculations!B83,"")</f>
        <v/>
      </c>
      <c r="B83" s="17" t="str">
        <f>IF(Calculations!$B83&lt;age_when_money_runs_out,Calculations!C83,"")</f>
        <v/>
      </c>
      <c r="C83" s="17" t="str">
        <f>IF(Calculations!$B83&lt;age_when_money_runs_out,Calculations!D83,"")</f>
        <v/>
      </c>
      <c r="D83" s="17" t="str">
        <f>IF(Calculations!$B83&lt;age_when_money_runs_out,Calculations!E83,"")</f>
        <v/>
      </c>
      <c r="E83" s="17" t="str">
        <f>IF(Calculations!$B83&lt;age_when_money_runs_out,Calculations!F83,"")</f>
        <v/>
      </c>
      <c r="F83" s="17" t="str">
        <f>IF(Calculations!$B83&lt;age_when_money_runs_out,Calculations!G83,"")</f>
        <v/>
      </c>
      <c r="G83" s="17" t="str">
        <f>IF(Calculations!$B83&lt;age_when_money_runs_out,Calculations!H83,"")</f>
        <v/>
      </c>
      <c r="H83" s="17" t="str">
        <f>IF(Calculations!$B83&lt;age_when_money_runs_out,Calculations!I83,"")</f>
        <v/>
      </c>
      <c r="I83" s="17" t="str">
        <f>IF(Calculations!$B83&lt;age_when_money_runs_out,Calculations!J83,"")</f>
        <v/>
      </c>
      <c r="J83" s="17" t="str">
        <f>IF(Calculations!$B83&lt;age_when_money_runs_out,Calculations!K83,"")</f>
        <v/>
      </c>
    </row>
    <row r="84" spans="1:10" ht="18" x14ac:dyDescent="0.35">
      <c r="A84" s="2" t="str">
        <f>IF(Calculations!$B84&lt;age_when_money_runs_out,Calculations!B84,"")</f>
        <v/>
      </c>
      <c r="B84" s="17" t="str">
        <f>IF(Calculations!$B84&lt;age_when_money_runs_out,Calculations!C84,"")</f>
        <v/>
      </c>
      <c r="C84" s="17" t="str">
        <f>IF(Calculations!$B84&lt;age_when_money_runs_out,Calculations!D84,"")</f>
        <v/>
      </c>
      <c r="D84" s="17" t="str">
        <f>IF(Calculations!$B84&lt;age_when_money_runs_out,Calculations!E84,"")</f>
        <v/>
      </c>
      <c r="E84" s="17" t="str">
        <f>IF(Calculations!$B84&lt;age_when_money_runs_out,Calculations!F84,"")</f>
        <v/>
      </c>
      <c r="F84" s="17" t="str">
        <f>IF(Calculations!$B84&lt;age_when_money_runs_out,Calculations!G84,"")</f>
        <v/>
      </c>
      <c r="G84" s="17" t="str">
        <f>IF(Calculations!$B84&lt;age_when_money_runs_out,Calculations!H84,"")</f>
        <v/>
      </c>
      <c r="H84" s="17" t="str">
        <f>IF(Calculations!$B84&lt;age_when_money_runs_out,Calculations!I84,"")</f>
        <v/>
      </c>
      <c r="I84" s="17" t="str">
        <f>IF(Calculations!$B84&lt;age_when_money_runs_out,Calculations!J84,"")</f>
        <v/>
      </c>
      <c r="J84" s="17" t="str">
        <f>IF(Calculations!$B84&lt;age_when_money_runs_out,Calculations!K84,"")</f>
        <v/>
      </c>
    </row>
    <row r="85" spans="1:10" ht="18" x14ac:dyDescent="0.35">
      <c r="A85" s="2" t="str">
        <f>IF(Calculations!$B85&lt;age_when_money_runs_out,Calculations!B85,"")</f>
        <v/>
      </c>
      <c r="B85" s="17" t="str">
        <f>IF(Calculations!$B85&lt;age_when_money_runs_out,Calculations!C85,"")</f>
        <v/>
      </c>
      <c r="C85" s="17" t="str">
        <f>IF(Calculations!$B85&lt;age_when_money_runs_out,Calculations!D85,"")</f>
        <v/>
      </c>
      <c r="D85" s="17" t="str">
        <f>IF(Calculations!$B85&lt;age_when_money_runs_out,Calculations!E85,"")</f>
        <v/>
      </c>
      <c r="E85" s="17" t="str">
        <f>IF(Calculations!$B85&lt;age_when_money_runs_out,Calculations!F85,"")</f>
        <v/>
      </c>
      <c r="F85" s="17" t="str">
        <f>IF(Calculations!$B85&lt;age_when_money_runs_out,Calculations!G85,"")</f>
        <v/>
      </c>
      <c r="G85" s="17" t="str">
        <f>IF(Calculations!$B85&lt;age_when_money_runs_out,Calculations!H85,"")</f>
        <v/>
      </c>
      <c r="H85" s="17" t="str">
        <f>IF(Calculations!$B85&lt;age_when_money_runs_out,Calculations!I85,"")</f>
        <v/>
      </c>
      <c r="I85" s="17" t="str">
        <f>IF(Calculations!$B85&lt;age_when_money_runs_out,Calculations!J85,"")</f>
        <v/>
      </c>
      <c r="J85" s="17" t="str">
        <f>IF(Calculations!$B85&lt;age_when_money_runs_out,Calculations!K85,"")</f>
        <v/>
      </c>
    </row>
    <row r="86" spans="1:10" ht="18" x14ac:dyDescent="0.35">
      <c r="A86" s="2" t="str">
        <f>IF(Calculations!$B86&lt;age_when_money_runs_out,Calculations!B86,"")</f>
        <v/>
      </c>
      <c r="B86" s="17" t="str">
        <f>IF(Calculations!$B86&lt;age_when_money_runs_out,Calculations!C86,"")</f>
        <v/>
      </c>
      <c r="C86" s="17" t="str">
        <f>IF(Calculations!$B86&lt;age_when_money_runs_out,Calculations!D86,"")</f>
        <v/>
      </c>
      <c r="D86" s="17" t="str">
        <f>IF(Calculations!$B86&lt;age_when_money_runs_out,Calculations!E86,"")</f>
        <v/>
      </c>
      <c r="E86" s="17" t="str">
        <f>IF(Calculations!$B86&lt;age_when_money_runs_out,Calculations!F86,"")</f>
        <v/>
      </c>
      <c r="F86" s="17" t="str">
        <f>IF(Calculations!$B86&lt;age_when_money_runs_out,Calculations!G86,"")</f>
        <v/>
      </c>
      <c r="G86" s="17" t="str">
        <f>IF(Calculations!$B86&lt;age_when_money_runs_out,Calculations!H86,"")</f>
        <v/>
      </c>
      <c r="H86" s="17" t="str">
        <f>IF(Calculations!$B86&lt;age_when_money_runs_out,Calculations!I86,"")</f>
        <v/>
      </c>
      <c r="I86" s="17" t="str">
        <f>IF(Calculations!$B86&lt;age_when_money_runs_out,Calculations!J86,"")</f>
        <v/>
      </c>
      <c r="J86" s="17" t="str">
        <f>IF(Calculations!$B86&lt;age_when_money_runs_out,Calculations!K86,"")</f>
        <v/>
      </c>
    </row>
    <row r="87" spans="1:10" ht="18" x14ac:dyDescent="0.35">
      <c r="A87" s="2" t="str">
        <f>IF(Calculations!$B87&lt;age_when_money_runs_out,Calculations!B87,"")</f>
        <v/>
      </c>
      <c r="B87" s="17" t="str">
        <f>IF(Calculations!$B87&lt;age_when_money_runs_out,Calculations!C87,"")</f>
        <v/>
      </c>
      <c r="C87" s="17" t="str">
        <f>IF(Calculations!$B87&lt;age_when_money_runs_out,Calculations!D87,"")</f>
        <v/>
      </c>
      <c r="D87" s="17" t="str">
        <f>IF(Calculations!$B87&lt;age_when_money_runs_out,Calculations!E87,"")</f>
        <v/>
      </c>
      <c r="E87" s="17" t="str">
        <f>IF(Calculations!$B87&lt;age_when_money_runs_out,Calculations!F87,"")</f>
        <v/>
      </c>
      <c r="F87" s="17" t="str">
        <f>IF(Calculations!$B87&lt;age_when_money_runs_out,Calculations!G87,"")</f>
        <v/>
      </c>
      <c r="G87" s="17" t="str">
        <f>IF(Calculations!$B87&lt;age_when_money_runs_out,Calculations!H87,"")</f>
        <v/>
      </c>
      <c r="H87" s="17" t="str">
        <f>IF(Calculations!$B87&lt;age_when_money_runs_out,Calculations!I87,"")</f>
        <v/>
      </c>
      <c r="I87" s="17" t="str">
        <f>IF(Calculations!$B87&lt;age_when_money_runs_out,Calculations!J87,"")</f>
        <v/>
      </c>
      <c r="J87" s="17" t="str">
        <f>IF(Calculations!$B87&lt;age_when_money_runs_out,Calculations!K87,"")</f>
        <v/>
      </c>
    </row>
    <row r="88" spans="1:10" ht="18" x14ac:dyDescent="0.35">
      <c r="A88" s="2" t="str">
        <f>IF(Calculations!$B88&lt;age_when_money_runs_out,Calculations!B88,"")</f>
        <v/>
      </c>
      <c r="B88" s="17" t="str">
        <f>IF(Calculations!$B88&lt;age_when_money_runs_out,Calculations!C88,"")</f>
        <v/>
      </c>
      <c r="C88" s="17" t="str">
        <f>IF(Calculations!$B88&lt;age_when_money_runs_out,Calculations!D88,"")</f>
        <v/>
      </c>
      <c r="D88" s="17" t="str">
        <f>IF(Calculations!$B88&lt;age_when_money_runs_out,Calculations!E88,"")</f>
        <v/>
      </c>
      <c r="E88" s="17" t="str">
        <f>IF(Calculations!$B88&lt;age_when_money_runs_out,Calculations!F88,"")</f>
        <v/>
      </c>
      <c r="F88" s="17" t="str">
        <f>IF(Calculations!$B88&lt;age_when_money_runs_out,Calculations!G88,"")</f>
        <v/>
      </c>
      <c r="G88" s="17" t="str">
        <f>IF(Calculations!$B88&lt;age_when_money_runs_out,Calculations!H88,"")</f>
        <v/>
      </c>
      <c r="H88" s="17" t="str">
        <f>IF(Calculations!$B88&lt;age_when_money_runs_out,Calculations!I88,"")</f>
        <v/>
      </c>
      <c r="I88" s="17" t="str">
        <f>IF(Calculations!$B88&lt;age_when_money_runs_out,Calculations!J88,"")</f>
        <v/>
      </c>
      <c r="J88" s="17" t="str">
        <f>IF(Calculations!$B88&lt;age_when_money_runs_out,Calculations!K88,"")</f>
        <v/>
      </c>
    </row>
    <row r="89" spans="1:10" ht="18" x14ac:dyDescent="0.35">
      <c r="A89" s="2" t="str">
        <f>IF(Calculations!$B89&lt;age_when_money_runs_out,Calculations!B89,"")</f>
        <v/>
      </c>
      <c r="B89" s="17" t="str">
        <f>IF(Calculations!$B89&lt;age_when_money_runs_out,Calculations!C89,"")</f>
        <v/>
      </c>
      <c r="C89" s="17" t="str">
        <f>IF(Calculations!$B89&lt;age_when_money_runs_out,Calculations!D89,"")</f>
        <v/>
      </c>
      <c r="D89" s="17" t="str">
        <f>IF(Calculations!$B89&lt;age_when_money_runs_out,Calculations!E89,"")</f>
        <v/>
      </c>
      <c r="E89" s="17" t="str">
        <f>IF(Calculations!$B89&lt;age_when_money_runs_out,Calculations!F89,"")</f>
        <v/>
      </c>
      <c r="F89" s="17" t="str">
        <f>IF(Calculations!$B89&lt;age_when_money_runs_out,Calculations!G89,"")</f>
        <v/>
      </c>
      <c r="G89" s="17" t="str">
        <f>IF(Calculations!$B89&lt;age_when_money_runs_out,Calculations!H89,"")</f>
        <v/>
      </c>
      <c r="H89" s="17" t="str">
        <f>IF(Calculations!$B89&lt;age_when_money_runs_out,Calculations!I89,"")</f>
        <v/>
      </c>
      <c r="I89" s="17" t="str">
        <f>IF(Calculations!$B89&lt;age_when_money_runs_out,Calculations!J89,"")</f>
        <v/>
      </c>
      <c r="J89" s="17" t="str">
        <f>IF(Calculations!$B89&lt;age_when_money_runs_out,Calculations!K89,"")</f>
        <v/>
      </c>
    </row>
    <row r="90" spans="1:10" ht="18" x14ac:dyDescent="0.35">
      <c r="A90" s="2" t="str">
        <f>IF(Calculations!$B90&lt;age_when_money_runs_out,Calculations!B90,"")</f>
        <v/>
      </c>
      <c r="B90" s="17" t="str">
        <f>IF(Calculations!$B90&lt;age_when_money_runs_out,Calculations!C90,"")</f>
        <v/>
      </c>
      <c r="C90" s="17" t="str">
        <f>IF(Calculations!$B90&lt;age_when_money_runs_out,Calculations!D90,"")</f>
        <v/>
      </c>
      <c r="D90" s="17" t="str">
        <f>IF(Calculations!$B90&lt;age_when_money_runs_out,Calculations!E90,"")</f>
        <v/>
      </c>
      <c r="E90" s="17" t="str">
        <f>IF(Calculations!$B90&lt;age_when_money_runs_out,Calculations!F90,"")</f>
        <v/>
      </c>
      <c r="F90" s="17" t="str">
        <f>IF(Calculations!$B90&lt;age_when_money_runs_out,Calculations!G90,"")</f>
        <v/>
      </c>
      <c r="G90" s="17" t="str">
        <f>IF(Calculations!$B90&lt;age_when_money_runs_out,Calculations!H90,"")</f>
        <v/>
      </c>
      <c r="H90" s="17" t="str">
        <f>IF(Calculations!$B90&lt;age_when_money_runs_out,Calculations!I90,"")</f>
        <v/>
      </c>
      <c r="I90" s="17" t="str">
        <f>IF(Calculations!$B90&lt;age_when_money_runs_out,Calculations!J90,"")</f>
        <v/>
      </c>
      <c r="J90" s="17" t="str">
        <f>IF(Calculations!$B90&lt;age_when_money_runs_out,Calculations!K90,"")</f>
        <v/>
      </c>
    </row>
    <row r="91" spans="1:10" ht="18" x14ac:dyDescent="0.35">
      <c r="A91" s="2" t="str">
        <f>IF(Calculations!$B91&lt;age_when_money_runs_out,Calculations!B91,"")</f>
        <v/>
      </c>
      <c r="B91" s="17" t="str">
        <f>IF(Calculations!$B91&lt;age_when_money_runs_out,Calculations!C91,"")</f>
        <v/>
      </c>
      <c r="C91" s="17" t="str">
        <f>IF(Calculations!$B91&lt;age_when_money_runs_out,Calculations!D91,"")</f>
        <v/>
      </c>
      <c r="D91" s="17" t="str">
        <f>IF(Calculations!$B91&lt;age_when_money_runs_out,Calculations!E91,"")</f>
        <v/>
      </c>
      <c r="E91" s="17" t="str">
        <f>IF(Calculations!$B91&lt;age_when_money_runs_out,Calculations!F91,"")</f>
        <v/>
      </c>
      <c r="F91" s="17" t="str">
        <f>IF(Calculations!$B91&lt;age_when_money_runs_out,Calculations!G91,"")</f>
        <v/>
      </c>
      <c r="G91" s="17" t="str">
        <f>IF(Calculations!$B91&lt;age_when_money_runs_out,Calculations!H91,"")</f>
        <v/>
      </c>
      <c r="H91" s="17" t="str">
        <f>IF(Calculations!$B91&lt;age_when_money_runs_out,Calculations!I91,"")</f>
        <v/>
      </c>
      <c r="I91" s="17" t="str">
        <f>IF(Calculations!$B91&lt;age_when_money_runs_out,Calculations!J91,"")</f>
        <v/>
      </c>
      <c r="J91" s="17" t="str">
        <f>IF(Calculations!$B91&lt;age_when_money_runs_out,Calculations!K91,"")</f>
        <v/>
      </c>
    </row>
    <row r="92" spans="1:10" ht="18" x14ac:dyDescent="0.35">
      <c r="A92" s="2" t="str">
        <f>IF(Calculations!$B92&lt;age_when_money_runs_out,Calculations!B92,"")</f>
        <v/>
      </c>
      <c r="B92" s="17" t="str">
        <f>IF(Calculations!$B92&lt;age_when_money_runs_out,Calculations!C92,"")</f>
        <v/>
      </c>
      <c r="C92" s="17" t="str">
        <f>IF(Calculations!$B92&lt;age_when_money_runs_out,Calculations!D92,"")</f>
        <v/>
      </c>
      <c r="D92" s="17" t="str">
        <f>IF(Calculations!$B92&lt;age_when_money_runs_out,Calculations!E92,"")</f>
        <v/>
      </c>
      <c r="E92" s="17" t="str">
        <f>IF(Calculations!$B92&lt;age_when_money_runs_out,Calculations!F92,"")</f>
        <v/>
      </c>
      <c r="F92" s="17" t="str">
        <f>IF(Calculations!$B92&lt;age_when_money_runs_out,Calculations!G92,"")</f>
        <v/>
      </c>
      <c r="G92" s="17" t="str">
        <f>IF(Calculations!$B92&lt;age_when_money_runs_out,Calculations!H92,"")</f>
        <v/>
      </c>
      <c r="H92" s="17" t="str">
        <f>IF(Calculations!$B92&lt;age_when_money_runs_out,Calculations!I92,"")</f>
        <v/>
      </c>
      <c r="I92" s="17" t="str">
        <f>IF(Calculations!$B92&lt;age_when_money_runs_out,Calculations!J92,"")</f>
        <v/>
      </c>
      <c r="J92" s="17" t="str">
        <f>IF(Calculations!$B92&lt;age_when_money_runs_out,Calculations!K92,"")</f>
        <v/>
      </c>
    </row>
    <row r="93" spans="1:10" ht="18" x14ac:dyDescent="0.35">
      <c r="A93" s="2" t="str">
        <f>IF(Calculations!$B93&lt;age_when_money_runs_out,Calculations!B93,"")</f>
        <v/>
      </c>
      <c r="B93" s="17" t="str">
        <f>IF(Calculations!$B93&lt;age_when_money_runs_out,Calculations!C93,"")</f>
        <v/>
      </c>
      <c r="C93" s="17" t="str">
        <f>IF(Calculations!$B93&lt;age_when_money_runs_out,Calculations!D93,"")</f>
        <v/>
      </c>
      <c r="D93" s="17" t="str">
        <f>IF(Calculations!$B93&lt;age_when_money_runs_out,Calculations!E93,"")</f>
        <v/>
      </c>
      <c r="E93" s="17" t="str">
        <f>IF(Calculations!$B93&lt;age_when_money_runs_out,Calculations!F93,"")</f>
        <v/>
      </c>
      <c r="F93" s="17" t="str">
        <f>IF(Calculations!$B93&lt;age_when_money_runs_out,Calculations!G93,"")</f>
        <v/>
      </c>
      <c r="G93" s="17" t="str">
        <f>IF(Calculations!$B93&lt;age_when_money_runs_out,Calculations!H93,"")</f>
        <v/>
      </c>
      <c r="H93" s="17" t="str">
        <f>IF(Calculations!$B93&lt;age_when_money_runs_out,Calculations!I93,"")</f>
        <v/>
      </c>
      <c r="I93" s="17" t="str">
        <f>IF(Calculations!$B93&lt;age_when_money_runs_out,Calculations!J93,"")</f>
        <v/>
      </c>
      <c r="J93" s="17" t="str">
        <f>IF(Calculations!$B93&lt;age_when_money_runs_out,Calculations!K93,"")</f>
        <v/>
      </c>
    </row>
    <row r="94" spans="1:10" ht="18" x14ac:dyDescent="0.35">
      <c r="A94" s="2" t="str">
        <f>IF(Calculations!$B94&lt;age_when_money_runs_out,Calculations!B94,"")</f>
        <v/>
      </c>
      <c r="B94" s="17" t="str">
        <f>IF(Calculations!$B94&lt;age_when_money_runs_out,Calculations!C94,"")</f>
        <v/>
      </c>
      <c r="C94" s="17" t="str">
        <f>IF(Calculations!$B94&lt;age_when_money_runs_out,Calculations!D94,"")</f>
        <v/>
      </c>
      <c r="D94" s="17" t="str">
        <f>IF(Calculations!$B94&lt;age_when_money_runs_out,Calculations!E94,"")</f>
        <v/>
      </c>
      <c r="E94" s="17" t="str">
        <f>IF(Calculations!$B94&lt;age_when_money_runs_out,Calculations!F94,"")</f>
        <v/>
      </c>
      <c r="F94" s="17" t="str">
        <f>IF(Calculations!$B94&lt;age_when_money_runs_out,Calculations!G94,"")</f>
        <v/>
      </c>
      <c r="G94" s="17" t="str">
        <f>IF(Calculations!$B94&lt;age_when_money_runs_out,Calculations!H94,"")</f>
        <v/>
      </c>
      <c r="H94" s="17" t="str">
        <f>IF(Calculations!$B94&lt;age_when_money_runs_out,Calculations!I94,"")</f>
        <v/>
      </c>
      <c r="I94" s="17" t="str">
        <f>IF(Calculations!$B94&lt;age_when_money_runs_out,Calculations!J94,"")</f>
        <v/>
      </c>
      <c r="J94" s="17" t="str">
        <f>IF(Calculations!$B94&lt;age_when_money_runs_out,Calculations!K94,"")</f>
        <v/>
      </c>
    </row>
    <row r="95" spans="1:10" ht="18" x14ac:dyDescent="0.35">
      <c r="A95" s="2" t="str">
        <f>IF(Calculations!$B95&lt;age_when_money_runs_out,Calculations!B95,"")</f>
        <v/>
      </c>
      <c r="B95" s="17" t="str">
        <f>IF(Calculations!$B95&lt;age_when_money_runs_out,Calculations!C95,"")</f>
        <v/>
      </c>
      <c r="C95" s="17" t="str">
        <f>IF(Calculations!$B95&lt;age_when_money_runs_out,Calculations!D95,"")</f>
        <v/>
      </c>
      <c r="D95" s="17" t="str">
        <f>IF(Calculations!$B95&lt;age_when_money_runs_out,Calculations!E95,"")</f>
        <v/>
      </c>
      <c r="E95" s="17" t="str">
        <f>IF(Calculations!$B95&lt;age_when_money_runs_out,Calculations!F95,"")</f>
        <v/>
      </c>
      <c r="F95" s="17" t="str">
        <f>IF(Calculations!$B95&lt;age_when_money_runs_out,Calculations!G95,"")</f>
        <v/>
      </c>
      <c r="G95" s="17" t="str">
        <f>IF(Calculations!$B95&lt;age_when_money_runs_out,Calculations!H95,"")</f>
        <v/>
      </c>
      <c r="H95" s="17" t="str">
        <f>IF(Calculations!$B95&lt;age_when_money_runs_out,Calculations!I95,"")</f>
        <v/>
      </c>
      <c r="I95" s="17" t="str">
        <f>IF(Calculations!$B95&lt;age_when_money_runs_out,Calculations!J95,"")</f>
        <v/>
      </c>
      <c r="J95" s="17" t="str">
        <f>IF(Calculations!$B95&lt;age_when_money_runs_out,Calculations!K95,"")</f>
        <v/>
      </c>
    </row>
    <row r="96" spans="1:10" ht="18" x14ac:dyDescent="0.35">
      <c r="A96" s="2" t="str">
        <f>IF(Calculations!$B96&lt;age_when_money_runs_out,Calculations!B96,"")</f>
        <v/>
      </c>
      <c r="B96" s="17" t="str">
        <f>IF(Calculations!$B96&lt;age_when_money_runs_out,Calculations!C96,"")</f>
        <v/>
      </c>
      <c r="C96" s="17" t="str">
        <f>IF(Calculations!$B96&lt;age_when_money_runs_out,Calculations!D96,"")</f>
        <v/>
      </c>
      <c r="D96" s="17" t="str">
        <f>IF(Calculations!$B96&lt;age_when_money_runs_out,Calculations!E96,"")</f>
        <v/>
      </c>
      <c r="E96" s="17" t="str">
        <f>IF(Calculations!$B96&lt;age_when_money_runs_out,Calculations!F96,"")</f>
        <v/>
      </c>
      <c r="F96" s="17" t="str">
        <f>IF(Calculations!$B96&lt;age_when_money_runs_out,Calculations!G96,"")</f>
        <v/>
      </c>
      <c r="G96" s="17" t="str">
        <f>IF(Calculations!$B96&lt;age_when_money_runs_out,Calculations!H96,"")</f>
        <v/>
      </c>
      <c r="H96" s="17" t="str">
        <f>IF(Calculations!$B96&lt;age_when_money_runs_out,Calculations!I96,"")</f>
        <v/>
      </c>
      <c r="I96" s="17" t="str">
        <f>IF(Calculations!$B96&lt;age_when_money_runs_out,Calculations!J96,"")</f>
        <v/>
      </c>
      <c r="J96" s="17" t="str">
        <f>IF(Calculations!$B96&lt;age_when_money_runs_out,Calculations!K96,"")</f>
        <v/>
      </c>
    </row>
    <row r="97" spans="1:10" ht="18" x14ac:dyDescent="0.35">
      <c r="A97" s="2" t="str">
        <f>IF(Calculations!$B97&lt;age_when_money_runs_out,Calculations!B97,"")</f>
        <v/>
      </c>
      <c r="B97" s="17" t="str">
        <f>IF(Calculations!$B97&lt;age_when_money_runs_out,Calculations!C97,"")</f>
        <v/>
      </c>
      <c r="C97" s="17" t="str">
        <f>IF(Calculations!$B97&lt;age_when_money_runs_out,Calculations!D97,"")</f>
        <v/>
      </c>
      <c r="D97" s="17" t="str">
        <f>IF(Calculations!$B97&lt;age_when_money_runs_out,Calculations!E97,"")</f>
        <v/>
      </c>
      <c r="E97" s="17" t="str">
        <f>IF(Calculations!$B97&lt;age_when_money_runs_out,Calculations!F97,"")</f>
        <v/>
      </c>
      <c r="F97" s="17" t="str">
        <f>IF(Calculations!$B97&lt;age_when_money_runs_out,Calculations!G97,"")</f>
        <v/>
      </c>
      <c r="G97" s="17" t="str">
        <f>IF(Calculations!$B97&lt;age_when_money_runs_out,Calculations!H97,"")</f>
        <v/>
      </c>
      <c r="H97" s="17" t="str">
        <f>IF(Calculations!$B97&lt;age_when_money_runs_out,Calculations!I97,"")</f>
        <v/>
      </c>
      <c r="I97" s="17" t="str">
        <f>IF(Calculations!$B97&lt;age_when_money_runs_out,Calculations!J97,"")</f>
        <v/>
      </c>
      <c r="J97" s="17" t="str">
        <f>IF(Calculations!$B97&lt;age_when_money_runs_out,Calculations!K97,"")</f>
        <v/>
      </c>
    </row>
    <row r="98" spans="1:10" ht="18" x14ac:dyDescent="0.35">
      <c r="A98" s="2" t="str">
        <f>IF(Calculations!$B98&lt;age_when_money_runs_out,Calculations!B98,"")</f>
        <v/>
      </c>
      <c r="B98" s="17" t="str">
        <f>IF(Calculations!$B98&lt;age_when_money_runs_out,Calculations!C98,"")</f>
        <v/>
      </c>
      <c r="C98" s="17" t="str">
        <f>IF(Calculations!$B98&lt;age_when_money_runs_out,Calculations!D98,"")</f>
        <v/>
      </c>
      <c r="D98" s="17" t="str">
        <f>IF(Calculations!$B98&lt;age_when_money_runs_out,Calculations!E98,"")</f>
        <v/>
      </c>
      <c r="E98" s="17" t="str">
        <f>IF(Calculations!$B98&lt;age_when_money_runs_out,Calculations!F98,"")</f>
        <v/>
      </c>
      <c r="F98" s="17" t="str">
        <f>IF(Calculations!$B98&lt;age_when_money_runs_out,Calculations!G98,"")</f>
        <v/>
      </c>
      <c r="G98" s="17" t="str">
        <f>IF(Calculations!$B98&lt;age_when_money_runs_out,Calculations!H98,"")</f>
        <v/>
      </c>
      <c r="H98" s="17" t="str">
        <f>IF(Calculations!$B98&lt;age_when_money_runs_out,Calculations!I98,"")</f>
        <v/>
      </c>
      <c r="I98" s="17" t="str">
        <f>IF(Calculations!$B98&lt;age_when_money_runs_out,Calculations!J98,"")</f>
        <v/>
      </c>
      <c r="J98" s="17" t="str">
        <f>IF(Calculations!$B98&lt;age_when_money_runs_out,Calculations!K98,"")</f>
        <v/>
      </c>
    </row>
    <row r="99" spans="1:10" ht="18" x14ac:dyDescent="0.35">
      <c r="A99" s="2" t="str">
        <f>IF(Calculations!$B99&lt;age_when_money_runs_out,Calculations!B99,"")</f>
        <v/>
      </c>
      <c r="B99" s="17" t="str">
        <f>IF(Calculations!$B99&lt;age_when_money_runs_out,Calculations!C99,"")</f>
        <v/>
      </c>
      <c r="C99" s="17" t="str">
        <f>IF(Calculations!$B99&lt;age_when_money_runs_out,Calculations!D99,"")</f>
        <v/>
      </c>
      <c r="D99" s="17" t="str">
        <f>IF(Calculations!$B99&lt;age_when_money_runs_out,Calculations!E99,"")</f>
        <v/>
      </c>
      <c r="E99" s="17" t="str">
        <f>IF(Calculations!$B99&lt;age_when_money_runs_out,Calculations!F99,"")</f>
        <v/>
      </c>
      <c r="F99" s="17" t="str">
        <f>IF(Calculations!$B99&lt;age_when_money_runs_out,Calculations!G99,"")</f>
        <v/>
      </c>
      <c r="G99" s="17" t="str">
        <f>IF(Calculations!$B99&lt;age_when_money_runs_out,Calculations!H99,"")</f>
        <v/>
      </c>
      <c r="H99" s="17" t="str">
        <f>IF(Calculations!$B99&lt;age_when_money_runs_out,Calculations!I99,"")</f>
        <v/>
      </c>
      <c r="I99" s="17" t="str">
        <f>IF(Calculations!$B99&lt;age_when_money_runs_out,Calculations!J99,"")</f>
        <v/>
      </c>
      <c r="J99" s="17" t="str">
        <f>IF(Calculations!$B99&lt;age_when_money_runs_out,Calculations!K99,"")</f>
        <v/>
      </c>
    </row>
    <row r="100" spans="1:10" ht="18" x14ac:dyDescent="0.35">
      <c r="A100" s="2" t="str">
        <f>IF(Calculations!$B100&lt;age_when_money_runs_out,Calculations!B100,"")</f>
        <v/>
      </c>
      <c r="B100" s="17" t="str">
        <f>IF(Calculations!$B100&lt;age_when_money_runs_out,Calculations!C100,"")</f>
        <v/>
      </c>
      <c r="C100" s="17" t="str">
        <f>IF(Calculations!$B100&lt;age_when_money_runs_out,Calculations!D100,"")</f>
        <v/>
      </c>
      <c r="D100" s="17" t="str">
        <f>IF(Calculations!$B100&lt;age_when_money_runs_out,Calculations!E100,"")</f>
        <v/>
      </c>
      <c r="E100" s="17" t="str">
        <f>IF(Calculations!$B100&lt;age_when_money_runs_out,Calculations!F100,"")</f>
        <v/>
      </c>
      <c r="F100" s="17" t="str">
        <f>IF(Calculations!$B100&lt;age_when_money_runs_out,Calculations!G100,"")</f>
        <v/>
      </c>
      <c r="G100" s="17" t="str">
        <f>IF(Calculations!$B100&lt;age_when_money_runs_out,Calculations!H100,"")</f>
        <v/>
      </c>
      <c r="H100" s="17" t="str">
        <f>IF(Calculations!$B100&lt;age_when_money_runs_out,Calculations!I100,"")</f>
        <v/>
      </c>
      <c r="I100" s="17" t="str">
        <f>IF(Calculations!$B100&lt;age_when_money_runs_out,Calculations!J100,"")</f>
        <v/>
      </c>
      <c r="J100" s="17" t="str">
        <f>IF(Calculations!$B100&lt;age_when_money_runs_out,Calculations!K100,"")</f>
        <v/>
      </c>
    </row>
    <row r="101" spans="1:10" ht="18" x14ac:dyDescent="0.35">
      <c r="A101" s="2" t="str">
        <f>IF(Calculations!$B101&lt;age_when_money_runs_out,Calculations!B101,"")</f>
        <v/>
      </c>
      <c r="B101" s="17" t="str">
        <f>IF(Calculations!$B101&lt;age_when_money_runs_out,Calculations!C101,"")</f>
        <v/>
      </c>
      <c r="C101" s="17" t="str">
        <f>IF(Calculations!$B101&lt;age_when_money_runs_out,Calculations!D101,"")</f>
        <v/>
      </c>
      <c r="D101" s="17" t="str">
        <f>IF(Calculations!$B101&lt;age_when_money_runs_out,Calculations!E101,"")</f>
        <v/>
      </c>
      <c r="E101" s="17" t="str">
        <f>IF(Calculations!$B101&lt;age_when_money_runs_out,Calculations!F101,"")</f>
        <v/>
      </c>
      <c r="F101" s="17" t="str">
        <f>IF(Calculations!$B101&lt;age_when_money_runs_out,Calculations!G101,"")</f>
        <v/>
      </c>
      <c r="G101" s="17" t="str">
        <f>IF(Calculations!$B101&lt;age_when_money_runs_out,Calculations!H101,"")</f>
        <v/>
      </c>
      <c r="H101" s="17" t="str">
        <f>IF(Calculations!$B101&lt;age_when_money_runs_out,Calculations!I101,"")</f>
        <v/>
      </c>
      <c r="I101" s="17" t="str">
        <f>IF(Calculations!$B101&lt;age_when_money_runs_out,Calculations!J101,"")</f>
        <v/>
      </c>
      <c r="J101" s="17" t="str">
        <f>IF(Calculations!$B101&lt;age_when_money_runs_out,Calculations!K101,"")</f>
        <v/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C28CB-7E33-4029-B08A-0FFDD1195B76}">
  <sheetPr codeName="Sheet2"/>
  <dimension ref="A1:P101"/>
  <sheetViews>
    <sheetView topLeftCell="B1" workbookViewId="0">
      <pane ySplit="1" topLeftCell="A2" activePane="bottomLeft" state="frozen"/>
      <selection pane="bottomLeft" activeCell="M27" sqref="M27"/>
    </sheetView>
  </sheetViews>
  <sheetFormatPr defaultRowHeight="14.4" x14ac:dyDescent="0.3"/>
  <cols>
    <col min="1" max="1" width="12.88671875" customWidth="1"/>
    <col min="2" max="2" width="11.77734375" customWidth="1"/>
    <col min="3" max="3" width="21.5546875" style="15" customWidth="1"/>
    <col min="4" max="4" width="18.109375" style="15" customWidth="1"/>
    <col min="5" max="5" width="24.88671875" style="15" customWidth="1"/>
    <col min="6" max="6" width="19.109375" style="15" customWidth="1"/>
    <col min="7" max="7" width="31.5546875" style="15" customWidth="1"/>
    <col min="8" max="8" width="19.5546875" style="15" customWidth="1"/>
    <col min="9" max="9" width="35.6640625" style="15" customWidth="1"/>
    <col min="10" max="10" width="24.77734375" style="15" customWidth="1"/>
    <col min="11" max="11" width="26.21875" style="15" customWidth="1"/>
  </cols>
  <sheetData>
    <row r="1" spans="1:16" ht="18" x14ac:dyDescent="0.35">
      <c r="A1" s="12" t="s">
        <v>2</v>
      </c>
      <c r="B1" s="12" t="s">
        <v>0</v>
      </c>
      <c r="C1" s="13" t="s">
        <v>3</v>
      </c>
      <c r="D1" s="13" t="s">
        <v>9</v>
      </c>
      <c r="E1" s="13" t="s">
        <v>7</v>
      </c>
      <c r="F1" s="13" t="s">
        <v>6</v>
      </c>
      <c r="G1" s="13" t="s">
        <v>23</v>
      </c>
      <c r="H1" s="13" t="s">
        <v>4</v>
      </c>
      <c r="I1" s="13" t="s">
        <v>10</v>
      </c>
      <c r="J1" s="13" t="s">
        <v>5</v>
      </c>
      <c r="K1" s="13" t="s">
        <v>8</v>
      </c>
      <c r="L1" s="2"/>
      <c r="M1" s="2"/>
      <c r="N1" s="2"/>
      <c r="O1" s="2"/>
      <c r="P1" s="2"/>
    </row>
    <row r="2" spans="1:16" ht="18" x14ac:dyDescent="0.35">
      <c r="A2" s="2">
        <v>1</v>
      </c>
      <c r="B2" s="2">
        <f>current_age</f>
        <v>35</v>
      </c>
      <c r="C2" s="14">
        <f>current_annual_income</f>
        <v>70000</v>
      </c>
      <c r="D2" s="14">
        <f t="shared" ref="D2:D33" si="0">C2*tax_rate</f>
        <v>15400</v>
      </c>
      <c r="E2" s="14">
        <f>current_annual_expenses</f>
        <v>45000</v>
      </c>
      <c r="F2" s="14">
        <f t="shared" ref="F2:F33" si="1">IF(retirement_age&gt;B2,C2-D2-E2,0)</f>
        <v>9600</v>
      </c>
      <c r="G2" s="14">
        <f>current_retirement_savings</f>
        <v>30000</v>
      </c>
      <c r="H2" s="14">
        <f t="shared" ref="H2:H33" si="2">IF(retirement_age&gt;B2,G2*investment_return_pre,G2*investment_return_post)</f>
        <v>1200</v>
      </c>
      <c r="I2" s="14">
        <f t="shared" ref="I2:I33" si="3">IF(retirement_age&gt;B2,0,E2)</f>
        <v>0</v>
      </c>
      <c r="J2" s="14">
        <f>G2+F2+H2-I2</f>
        <v>40800</v>
      </c>
      <c r="K2" s="14">
        <f>J2-G2</f>
        <v>10800</v>
      </c>
      <c r="L2" s="2"/>
      <c r="M2" s="2"/>
      <c r="N2" s="2"/>
      <c r="O2" s="2"/>
      <c r="P2" s="2"/>
    </row>
    <row r="3" spans="1:16" ht="18" x14ac:dyDescent="0.35">
      <c r="A3" s="2">
        <f>1+A2</f>
        <v>2</v>
      </c>
      <c r="B3" s="2">
        <f>1+B2</f>
        <v>36</v>
      </c>
      <c r="C3" s="14">
        <f t="shared" ref="C3:C34" si="4">IF(retirement_age&gt;B3,C2+C2*Annual_Income_Increase,0)</f>
        <v>72800</v>
      </c>
      <c r="D3" s="14">
        <f t="shared" si="0"/>
        <v>16016</v>
      </c>
      <c r="E3" s="14">
        <f t="shared" ref="E3:E34" si="5">E2+E2*annual_inflation</f>
        <v>46350</v>
      </c>
      <c r="F3" s="14">
        <f t="shared" si="1"/>
        <v>10434</v>
      </c>
      <c r="G3" s="14">
        <f>J2</f>
        <v>40800</v>
      </c>
      <c r="H3" s="14">
        <f t="shared" si="2"/>
        <v>1632</v>
      </c>
      <c r="I3" s="14">
        <f t="shared" si="3"/>
        <v>0</v>
      </c>
      <c r="J3" s="14">
        <f t="shared" ref="J3:J66" si="6">G3+F3+H3-I3</f>
        <v>52866</v>
      </c>
      <c r="K3" s="14">
        <f t="shared" ref="K3:K66" si="7">J3-G3</f>
        <v>12066</v>
      </c>
      <c r="L3" s="2"/>
      <c r="M3" s="2"/>
      <c r="N3" s="2"/>
      <c r="O3" s="2"/>
      <c r="P3" s="2"/>
    </row>
    <row r="4" spans="1:16" ht="18" x14ac:dyDescent="0.35">
      <c r="A4" s="2">
        <f t="shared" ref="A4:A67" si="8">1+A3</f>
        <v>3</v>
      </c>
      <c r="B4" s="2">
        <f t="shared" ref="B4:B67" si="9">1+B3</f>
        <v>37</v>
      </c>
      <c r="C4" s="14">
        <f t="shared" si="4"/>
        <v>75712</v>
      </c>
      <c r="D4" s="14">
        <f t="shared" si="0"/>
        <v>16656.64</v>
      </c>
      <c r="E4" s="14">
        <f t="shared" si="5"/>
        <v>47740.5</v>
      </c>
      <c r="F4" s="14">
        <f t="shared" si="1"/>
        <v>11314.86</v>
      </c>
      <c r="G4" s="14">
        <f t="shared" ref="G4:G67" si="10">J3</f>
        <v>52866</v>
      </c>
      <c r="H4" s="14">
        <f t="shared" si="2"/>
        <v>2114.64</v>
      </c>
      <c r="I4" s="14">
        <f t="shared" si="3"/>
        <v>0</v>
      </c>
      <c r="J4" s="14">
        <f t="shared" si="6"/>
        <v>66295.5</v>
      </c>
      <c r="K4" s="14">
        <f t="shared" si="7"/>
        <v>13429.5</v>
      </c>
      <c r="L4" s="2"/>
      <c r="M4" s="2"/>
      <c r="N4" s="2"/>
      <c r="O4" s="2"/>
      <c r="P4" s="2"/>
    </row>
    <row r="5" spans="1:16" ht="18" x14ac:dyDescent="0.35">
      <c r="A5" s="2">
        <f t="shared" si="8"/>
        <v>4</v>
      </c>
      <c r="B5" s="2">
        <f t="shared" si="9"/>
        <v>38</v>
      </c>
      <c r="C5" s="14">
        <f t="shared" si="4"/>
        <v>78740.479999999996</v>
      </c>
      <c r="D5" s="14">
        <f t="shared" si="0"/>
        <v>17322.905599999998</v>
      </c>
      <c r="E5" s="14">
        <f t="shared" si="5"/>
        <v>49172.714999999997</v>
      </c>
      <c r="F5" s="14">
        <f t="shared" si="1"/>
        <v>12244.859400000001</v>
      </c>
      <c r="G5" s="14">
        <f t="shared" si="10"/>
        <v>66295.5</v>
      </c>
      <c r="H5" s="14">
        <f t="shared" si="2"/>
        <v>2651.82</v>
      </c>
      <c r="I5" s="14">
        <f t="shared" si="3"/>
        <v>0</v>
      </c>
      <c r="J5" s="14">
        <f t="shared" si="6"/>
        <v>81192.179400000008</v>
      </c>
      <c r="K5" s="14">
        <f t="shared" si="7"/>
        <v>14896.679400000008</v>
      </c>
      <c r="L5" s="2"/>
      <c r="M5" s="2"/>
      <c r="N5" s="2"/>
      <c r="O5" s="2"/>
      <c r="P5" s="2"/>
    </row>
    <row r="6" spans="1:16" ht="18" x14ac:dyDescent="0.35">
      <c r="A6" s="2">
        <f t="shared" si="8"/>
        <v>5</v>
      </c>
      <c r="B6" s="2">
        <f t="shared" si="9"/>
        <v>39</v>
      </c>
      <c r="C6" s="14">
        <f t="shared" si="4"/>
        <v>81890.099199999997</v>
      </c>
      <c r="D6" s="14">
        <f t="shared" si="0"/>
        <v>18015.821823999999</v>
      </c>
      <c r="E6" s="14">
        <f t="shared" si="5"/>
        <v>50647.896449999993</v>
      </c>
      <c r="F6" s="14">
        <f t="shared" si="1"/>
        <v>13226.380926000005</v>
      </c>
      <c r="G6" s="14">
        <f t="shared" si="10"/>
        <v>81192.179400000008</v>
      </c>
      <c r="H6" s="14">
        <f t="shared" si="2"/>
        <v>3247.6871760000004</v>
      </c>
      <c r="I6" s="14">
        <f t="shared" si="3"/>
        <v>0</v>
      </c>
      <c r="J6" s="14">
        <f t="shared" si="6"/>
        <v>97666.247502000013</v>
      </c>
      <c r="K6" s="14">
        <f t="shared" si="7"/>
        <v>16474.068102000005</v>
      </c>
      <c r="L6" s="2"/>
      <c r="M6" s="2"/>
      <c r="N6" s="2"/>
      <c r="O6" s="2"/>
      <c r="P6" s="2"/>
    </row>
    <row r="7" spans="1:16" ht="18" x14ac:dyDescent="0.35">
      <c r="A7" s="2">
        <f t="shared" si="8"/>
        <v>6</v>
      </c>
      <c r="B7" s="2">
        <f t="shared" si="9"/>
        <v>40</v>
      </c>
      <c r="C7" s="14">
        <f t="shared" si="4"/>
        <v>85165.703167999993</v>
      </c>
      <c r="D7" s="14">
        <f t="shared" si="0"/>
        <v>18736.454696959998</v>
      </c>
      <c r="E7" s="14">
        <f t="shared" si="5"/>
        <v>52167.333343499995</v>
      </c>
      <c r="F7" s="14">
        <f t="shared" si="1"/>
        <v>14261.915127539993</v>
      </c>
      <c r="G7" s="14">
        <f t="shared" si="10"/>
        <v>97666.247502000013</v>
      </c>
      <c r="H7" s="14">
        <f t="shared" si="2"/>
        <v>3906.6499000800004</v>
      </c>
      <c r="I7" s="14">
        <f t="shared" si="3"/>
        <v>0</v>
      </c>
      <c r="J7" s="14">
        <f t="shared" si="6"/>
        <v>115834.81252962</v>
      </c>
      <c r="K7" s="14">
        <f t="shared" si="7"/>
        <v>18168.565027619989</v>
      </c>
      <c r="L7" s="2"/>
      <c r="M7" s="2"/>
      <c r="N7" s="2"/>
      <c r="O7" s="2"/>
      <c r="P7" s="2"/>
    </row>
    <row r="8" spans="1:16" ht="18" x14ac:dyDescent="0.35">
      <c r="A8" s="2">
        <f t="shared" si="8"/>
        <v>7</v>
      </c>
      <c r="B8" s="2">
        <f t="shared" si="9"/>
        <v>41</v>
      </c>
      <c r="C8" s="14">
        <f t="shared" si="4"/>
        <v>88572.331294719988</v>
      </c>
      <c r="D8" s="14">
        <f t="shared" si="0"/>
        <v>19485.912884838399</v>
      </c>
      <c r="E8" s="14">
        <f t="shared" si="5"/>
        <v>53732.353343804993</v>
      </c>
      <c r="F8" s="14">
        <f t="shared" si="1"/>
        <v>15354.065066076597</v>
      </c>
      <c r="G8" s="14">
        <f t="shared" si="10"/>
        <v>115834.81252962</v>
      </c>
      <c r="H8" s="14">
        <f t="shared" si="2"/>
        <v>4633.3925011848005</v>
      </c>
      <c r="I8" s="14">
        <f t="shared" si="3"/>
        <v>0</v>
      </c>
      <c r="J8" s="14">
        <f t="shared" si="6"/>
        <v>135822.2700968814</v>
      </c>
      <c r="K8" s="14">
        <f t="shared" si="7"/>
        <v>19987.457567261401</v>
      </c>
      <c r="L8" s="2"/>
      <c r="M8" s="2"/>
      <c r="N8" s="2"/>
      <c r="O8" s="2"/>
      <c r="P8" s="2"/>
    </row>
    <row r="9" spans="1:16" ht="18" x14ac:dyDescent="0.35">
      <c r="A9" s="2">
        <f t="shared" si="8"/>
        <v>8</v>
      </c>
      <c r="B9" s="2">
        <f t="shared" si="9"/>
        <v>42</v>
      </c>
      <c r="C9" s="14">
        <f t="shared" si="4"/>
        <v>92115.224546508791</v>
      </c>
      <c r="D9" s="14">
        <f t="shared" si="0"/>
        <v>20265.349400231935</v>
      </c>
      <c r="E9" s="14">
        <f t="shared" si="5"/>
        <v>55344.32394411914</v>
      </c>
      <c r="F9" s="14">
        <f t="shared" si="1"/>
        <v>16505.551202157716</v>
      </c>
      <c r="G9" s="14">
        <f t="shared" si="10"/>
        <v>135822.2700968814</v>
      </c>
      <c r="H9" s="14">
        <f t="shared" si="2"/>
        <v>5432.8908038752561</v>
      </c>
      <c r="I9" s="14">
        <f t="shared" si="3"/>
        <v>0</v>
      </c>
      <c r="J9" s="14">
        <f t="shared" si="6"/>
        <v>157760.71210291437</v>
      </c>
      <c r="K9" s="14">
        <f t="shared" si="7"/>
        <v>21938.442006032972</v>
      </c>
      <c r="L9" s="2"/>
      <c r="M9" s="2"/>
      <c r="N9" s="2"/>
      <c r="O9" s="2"/>
      <c r="P9" s="2"/>
    </row>
    <row r="10" spans="1:16" ht="18" x14ac:dyDescent="0.35">
      <c r="A10" s="2">
        <f t="shared" si="8"/>
        <v>9</v>
      </c>
      <c r="B10" s="2">
        <f t="shared" si="9"/>
        <v>43</v>
      </c>
      <c r="C10" s="14">
        <f t="shared" si="4"/>
        <v>95799.833528369141</v>
      </c>
      <c r="D10" s="14">
        <f t="shared" si="0"/>
        <v>21075.963376241212</v>
      </c>
      <c r="E10" s="14">
        <f t="shared" si="5"/>
        <v>57004.653662442717</v>
      </c>
      <c r="F10" s="14">
        <f t="shared" si="1"/>
        <v>17719.216489685212</v>
      </c>
      <c r="G10" s="14">
        <f t="shared" si="10"/>
        <v>157760.71210291437</v>
      </c>
      <c r="H10" s="14">
        <f t="shared" si="2"/>
        <v>6310.4284841165754</v>
      </c>
      <c r="I10" s="14">
        <f t="shared" si="3"/>
        <v>0</v>
      </c>
      <c r="J10" s="14">
        <f t="shared" si="6"/>
        <v>181790.35707671614</v>
      </c>
      <c r="K10" s="14">
        <f t="shared" si="7"/>
        <v>24029.644973801769</v>
      </c>
      <c r="L10" s="2"/>
      <c r="M10" s="2"/>
      <c r="N10" s="2"/>
      <c r="O10" s="2"/>
      <c r="P10" s="2"/>
    </row>
    <row r="11" spans="1:16" ht="18" x14ac:dyDescent="0.35">
      <c r="A11" s="2">
        <f t="shared" si="8"/>
        <v>10</v>
      </c>
      <c r="B11" s="2">
        <f t="shared" si="9"/>
        <v>44</v>
      </c>
      <c r="C11" s="14">
        <f t="shared" si="4"/>
        <v>99631.826869503901</v>
      </c>
      <c r="D11" s="14">
        <f t="shared" si="0"/>
        <v>21919.001911290859</v>
      </c>
      <c r="E11" s="14">
        <f t="shared" si="5"/>
        <v>58714.793272315997</v>
      </c>
      <c r="F11" s="14">
        <f t="shared" si="1"/>
        <v>18998.03168589704</v>
      </c>
      <c r="G11" s="14">
        <f t="shared" si="10"/>
        <v>181790.35707671614</v>
      </c>
      <c r="H11" s="14">
        <f t="shared" si="2"/>
        <v>7271.6142830686458</v>
      </c>
      <c r="I11" s="14">
        <f t="shared" si="3"/>
        <v>0</v>
      </c>
      <c r="J11" s="14">
        <f t="shared" si="6"/>
        <v>208060.00304568183</v>
      </c>
      <c r="K11" s="14">
        <f t="shared" si="7"/>
        <v>26269.645968965691</v>
      </c>
      <c r="L11" s="2"/>
      <c r="M11" s="2"/>
      <c r="N11" s="2"/>
      <c r="O11" s="2"/>
      <c r="P11" s="2"/>
    </row>
    <row r="12" spans="1:16" ht="18" x14ac:dyDescent="0.35">
      <c r="A12" s="2">
        <f t="shared" si="8"/>
        <v>11</v>
      </c>
      <c r="B12" s="2">
        <f t="shared" si="9"/>
        <v>45</v>
      </c>
      <c r="C12" s="14">
        <f t="shared" si="4"/>
        <v>103617.09994428405</v>
      </c>
      <c r="D12" s="14">
        <f t="shared" si="0"/>
        <v>22795.761987742491</v>
      </c>
      <c r="E12" s="14">
        <f t="shared" si="5"/>
        <v>60476.237070485477</v>
      </c>
      <c r="F12" s="14">
        <f t="shared" si="1"/>
        <v>20345.100886056091</v>
      </c>
      <c r="G12" s="14">
        <f t="shared" si="10"/>
        <v>208060.00304568183</v>
      </c>
      <c r="H12" s="14">
        <f t="shared" si="2"/>
        <v>8322.4001218272733</v>
      </c>
      <c r="I12" s="14">
        <f t="shared" si="3"/>
        <v>0</v>
      </c>
      <c r="J12" s="14">
        <f t="shared" si="6"/>
        <v>236727.50405356518</v>
      </c>
      <c r="K12" s="14">
        <f t="shared" si="7"/>
        <v>28667.501007883344</v>
      </c>
      <c r="L12" s="2"/>
      <c r="M12" s="2"/>
      <c r="N12" s="2"/>
      <c r="O12" s="2"/>
      <c r="P12" s="2"/>
    </row>
    <row r="13" spans="1:16" ht="18" x14ac:dyDescent="0.35">
      <c r="A13" s="2">
        <f t="shared" si="8"/>
        <v>12</v>
      </c>
      <c r="B13" s="2">
        <f t="shared" si="9"/>
        <v>46</v>
      </c>
      <c r="C13" s="14">
        <f t="shared" si="4"/>
        <v>107761.78394205542</v>
      </c>
      <c r="D13" s="14">
        <f t="shared" si="0"/>
        <v>23707.592467252194</v>
      </c>
      <c r="E13" s="14">
        <f t="shared" si="5"/>
        <v>62290.524182600042</v>
      </c>
      <c r="F13" s="14">
        <f t="shared" si="1"/>
        <v>21763.667292203187</v>
      </c>
      <c r="G13" s="14">
        <f t="shared" si="10"/>
        <v>236727.50405356518</v>
      </c>
      <c r="H13" s="14">
        <f t="shared" si="2"/>
        <v>9469.1001621426076</v>
      </c>
      <c r="I13" s="14">
        <f t="shared" si="3"/>
        <v>0</v>
      </c>
      <c r="J13" s="14">
        <f t="shared" si="6"/>
        <v>267960.27150791098</v>
      </c>
      <c r="K13" s="14">
        <f t="shared" si="7"/>
        <v>31232.767454345798</v>
      </c>
      <c r="L13" s="2"/>
      <c r="M13" s="2"/>
      <c r="N13" s="2"/>
      <c r="O13" s="2"/>
      <c r="P13" s="2"/>
    </row>
    <row r="14" spans="1:16" ht="18" x14ac:dyDescent="0.35">
      <c r="A14" s="2">
        <f t="shared" si="8"/>
        <v>13</v>
      </c>
      <c r="B14" s="2">
        <f t="shared" si="9"/>
        <v>47</v>
      </c>
      <c r="C14" s="14">
        <f t="shared" si="4"/>
        <v>112072.25529973763</v>
      </c>
      <c r="D14" s="14">
        <f t="shared" si="0"/>
        <v>24655.896165942278</v>
      </c>
      <c r="E14" s="14">
        <f t="shared" si="5"/>
        <v>64159.239908078045</v>
      </c>
      <c r="F14" s="14">
        <f t="shared" si="1"/>
        <v>23257.11922571731</v>
      </c>
      <c r="G14" s="14">
        <f t="shared" si="10"/>
        <v>267960.27150791098</v>
      </c>
      <c r="H14" s="14">
        <f t="shared" si="2"/>
        <v>10718.410860316439</v>
      </c>
      <c r="I14" s="14">
        <f t="shared" si="3"/>
        <v>0</v>
      </c>
      <c r="J14" s="14">
        <f t="shared" si="6"/>
        <v>301935.80159394472</v>
      </c>
      <c r="K14" s="14">
        <f t="shared" si="7"/>
        <v>33975.530086033745</v>
      </c>
      <c r="L14" s="2"/>
      <c r="M14" s="2"/>
      <c r="N14" s="2"/>
      <c r="O14" s="2"/>
      <c r="P14" s="2"/>
    </row>
    <row r="15" spans="1:16" ht="18" x14ac:dyDescent="0.35">
      <c r="A15" s="2">
        <f t="shared" si="8"/>
        <v>14</v>
      </c>
      <c r="B15" s="2">
        <f t="shared" si="9"/>
        <v>48</v>
      </c>
      <c r="C15" s="14">
        <f t="shared" si="4"/>
        <v>116555.14551172714</v>
      </c>
      <c r="D15" s="14">
        <f t="shared" si="0"/>
        <v>25642.132012579972</v>
      </c>
      <c r="E15" s="14">
        <f t="shared" si="5"/>
        <v>66084.017105320381</v>
      </c>
      <c r="F15" s="14">
        <f t="shared" si="1"/>
        <v>24828.99639382679</v>
      </c>
      <c r="G15" s="14">
        <f t="shared" si="10"/>
        <v>301935.80159394472</v>
      </c>
      <c r="H15" s="14">
        <f t="shared" si="2"/>
        <v>12077.432063757789</v>
      </c>
      <c r="I15" s="14">
        <f t="shared" si="3"/>
        <v>0</v>
      </c>
      <c r="J15" s="14">
        <f t="shared" si="6"/>
        <v>338842.2300515293</v>
      </c>
      <c r="K15" s="14">
        <f t="shared" si="7"/>
        <v>36906.428457584581</v>
      </c>
      <c r="L15" s="2"/>
      <c r="M15" s="2"/>
      <c r="N15" s="2"/>
      <c r="O15" s="2"/>
      <c r="P15" s="2"/>
    </row>
    <row r="16" spans="1:16" ht="18" x14ac:dyDescent="0.35">
      <c r="A16" s="2">
        <f t="shared" si="8"/>
        <v>15</v>
      </c>
      <c r="B16" s="2">
        <f t="shared" si="9"/>
        <v>49</v>
      </c>
      <c r="C16" s="14">
        <f t="shared" si="4"/>
        <v>121217.35133219622</v>
      </c>
      <c r="D16" s="14">
        <f t="shared" si="0"/>
        <v>26667.817293083168</v>
      </c>
      <c r="E16" s="14">
        <f t="shared" si="5"/>
        <v>68066.537618479997</v>
      </c>
      <c r="F16" s="14">
        <f t="shared" si="1"/>
        <v>26482.996420633062</v>
      </c>
      <c r="G16" s="14">
        <f t="shared" si="10"/>
        <v>338842.2300515293</v>
      </c>
      <c r="H16" s="14">
        <f t="shared" si="2"/>
        <v>13553.689202061172</v>
      </c>
      <c r="I16" s="14">
        <f t="shared" si="3"/>
        <v>0</v>
      </c>
      <c r="J16" s="14">
        <f t="shared" si="6"/>
        <v>378878.91567422351</v>
      </c>
      <c r="K16" s="14">
        <f t="shared" si="7"/>
        <v>40036.685622694204</v>
      </c>
      <c r="L16" s="2"/>
      <c r="M16" s="2"/>
      <c r="N16" s="2"/>
      <c r="O16" s="2"/>
      <c r="P16" s="2"/>
    </row>
    <row r="17" spans="1:16" ht="18" x14ac:dyDescent="0.35">
      <c r="A17" s="2">
        <f t="shared" si="8"/>
        <v>16</v>
      </c>
      <c r="B17" s="2">
        <f t="shared" si="9"/>
        <v>50</v>
      </c>
      <c r="C17" s="14">
        <f t="shared" si="4"/>
        <v>126066.04538548407</v>
      </c>
      <c r="D17" s="14">
        <f t="shared" si="0"/>
        <v>27734.529984806497</v>
      </c>
      <c r="E17" s="14">
        <f t="shared" si="5"/>
        <v>70108.533747034395</v>
      </c>
      <c r="F17" s="14">
        <f t="shared" si="1"/>
        <v>28222.981653643175</v>
      </c>
      <c r="G17" s="14">
        <f t="shared" si="10"/>
        <v>378878.91567422351</v>
      </c>
      <c r="H17" s="14">
        <f t="shared" si="2"/>
        <v>15155.156626968941</v>
      </c>
      <c r="I17" s="14">
        <f t="shared" si="3"/>
        <v>0</v>
      </c>
      <c r="J17" s="14">
        <f t="shared" si="6"/>
        <v>422257.05395483563</v>
      </c>
      <c r="K17" s="14">
        <f t="shared" si="7"/>
        <v>43378.138280612126</v>
      </c>
      <c r="L17" s="2"/>
      <c r="M17" s="2"/>
      <c r="N17" s="2"/>
      <c r="O17" s="2"/>
      <c r="P17" s="2"/>
    </row>
    <row r="18" spans="1:16" ht="18" x14ac:dyDescent="0.35">
      <c r="A18" s="2">
        <f t="shared" si="8"/>
        <v>17</v>
      </c>
      <c r="B18" s="2">
        <f t="shared" si="9"/>
        <v>51</v>
      </c>
      <c r="C18" s="14">
        <f t="shared" si="4"/>
        <v>131108.68720090343</v>
      </c>
      <c r="D18" s="14">
        <f t="shared" si="0"/>
        <v>28843.911184198754</v>
      </c>
      <c r="E18" s="14">
        <f t="shared" si="5"/>
        <v>72211.789759445426</v>
      </c>
      <c r="F18" s="14">
        <f t="shared" si="1"/>
        <v>30052.986257259254</v>
      </c>
      <c r="G18" s="14">
        <f t="shared" si="10"/>
        <v>422257.05395483563</v>
      </c>
      <c r="H18" s="14">
        <f t="shared" si="2"/>
        <v>16890.282158193426</v>
      </c>
      <c r="I18" s="14">
        <f t="shared" si="3"/>
        <v>0</v>
      </c>
      <c r="J18" s="14">
        <f t="shared" si="6"/>
        <v>469200.32237028831</v>
      </c>
      <c r="K18" s="14">
        <f t="shared" si="7"/>
        <v>46943.26841545268</v>
      </c>
      <c r="L18" s="2"/>
      <c r="M18" s="2"/>
      <c r="N18" s="2"/>
      <c r="O18" s="2"/>
      <c r="P18" s="2"/>
    </row>
    <row r="19" spans="1:16" ht="18" x14ac:dyDescent="0.35">
      <c r="A19" s="2">
        <f t="shared" si="8"/>
        <v>18</v>
      </c>
      <c r="B19" s="2">
        <f t="shared" si="9"/>
        <v>52</v>
      </c>
      <c r="C19" s="14">
        <f t="shared" si="4"/>
        <v>136353.03468893957</v>
      </c>
      <c r="D19" s="14">
        <f t="shared" si="0"/>
        <v>29997.667631566706</v>
      </c>
      <c r="E19" s="14">
        <f t="shared" si="5"/>
        <v>74378.143452228789</v>
      </c>
      <c r="F19" s="14">
        <f t="shared" si="1"/>
        <v>31977.223605144085</v>
      </c>
      <c r="G19" s="14">
        <f t="shared" si="10"/>
        <v>469200.32237028831</v>
      </c>
      <c r="H19" s="14">
        <f t="shared" si="2"/>
        <v>18768.012894811534</v>
      </c>
      <c r="I19" s="14">
        <f t="shared" si="3"/>
        <v>0</v>
      </c>
      <c r="J19" s="14">
        <f t="shared" si="6"/>
        <v>519945.5588702439</v>
      </c>
      <c r="K19" s="14">
        <f t="shared" si="7"/>
        <v>50745.236499955587</v>
      </c>
      <c r="L19" s="2"/>
      <c r="M19" s="2"/>
      <c r="N19" s="2"/>
      <c r="O19" s="2"/>
      <c r="P19" s="2"/>
    </row>
    <row r="20" spans="1:16" ht="18" x14ac:dyDescent="0.35">
      <c r="A20" s="2">
        <f t="shared" si="8"/>
        <v>19</v>
      </c>
      <c r="B20" s="2">
        <f t="shared" si="9"/>
        <v>53</v>
      </c>
      <c r="C20" s="14">
        <f t="shared" si="4"/>
        <v>141807.15607649717</v>
      </c>
      <c r="D20" s="14">
        <f t="shared" si="0"/>
        <v>31197.574336829377</v>
      </c>
      <c r="E20" s="14">
        <f t="shared" si="5"/>
        <v>76609.48775579565</v>
      </c>
      <c r="F20" s="14">
        <f t="shared" si="1"/>
        <v>34000.093983872139</v>
      </c>
      <c r="G20" s="14">
        <f t="shared" si="10"/>
        <v>519945.5588702439</v>
      </c>
      <c r="H20" s="14">
        <f t="shared" si="2"/>
        <v>20797.822354809756</v>
      </c>
      <c r="I20" s="14">
        <f t="shared" si="3"/>
        <v>0</v>
      </c>
      <c r="J20" s="14">
        <f t="shared" si="6"/>
        <v>574743.47520892578</v>
      </c>
      <c r="K20" s="14">
        <f t="shared" si="7"/>
        <v>54797.916338681884</v>
      </c>
      <c r="L20" s="2"/>
      <c r="M20" s="2"/>
      <c r="N20" s="2"/>
      <c r="O20" s="2"/>
      <c r="P20" s="2"/>
    </row>
    <row r="21" spans="1:16" ht="18" x14ac:dyDescent="0.35">
      <c r="A21" s="2">
        <f t="shared" si="8"/>
        <v>20</v>
      </c>
      <c r="B21" s="2">
        <f t="shared" si="9"/>
        <v>54</v>
      </c>
      <c r="C21" s="14">
        <f t="shared" si="4"/>
        <v>147479.44231955704</v>
      </c>
      <c r="D21" s="14">
        <f t="shared" si="0"/>
        <v>32445.477310302551</v>
      </c>
      <c r="E21" s="14">
        <f t="shared" si="5"/>
        <v>78907.772388469515</v>
      </c>
      <c r="F21" s="14">
        <f t="shared" si="1"/>
        <v>36126.192620784976</v>
      </c>
      <c r="G21" s="14">
        <f t="shared" si="10"/>
        <v>574743.47520892578</v>
      </c>
      <c r="H21" s="14">
        <f t="shared" si="2"/>
        <v>22989.739008357032</v>
      </c>
      <c r="I21" s="14">
        <f t="shared" si="3"/>
        <v>0</v>
      </c>
      <c r="J21" s="14">
        <f t="shared" si="6"/>
        <v>633859.40683806781</v>
      </c>
      <c r="K21" s="14">
        <f t="shared" si="7"/>
        <v>59115.931629142025</v>
      </c>
      <c r="L21" s="2"/>
      <c r="M21" s="2"/>
      <c r="N21" s="2"/>
      <c r="O21" s="2"/>
      <c r="P21" s="2"/>
    </row>
    <row r="22" spans="1:16" ht="18" x14ac:dyDescent="0.35">
      <c r="A22" s="2">
        <f t="shared" si="8"/>
        <v>21</v>
      </c>
      <c r="B22" s="2">
        <f t="shared" si="9"/>
        <v>55</v>
      </c>
      <c r="C22" s="14">
        <f t="shared" si="4"/>
        <v>153378.62001233932</v>
      </c>
      <c r="D22" s="14">
        <f t="shared" si="0"/>
        <v>33743.296402714652</v>
      </c>
      <c r="E22" s="14">
        <f t="shared" si="5"/>
        <v>81275.005560123594</v>
      </c>
      <c r="F22" s="14">
        <f t="shared" si="1"/>
        <v>38360.318049501075</v>
      </c>
      <c r="G22" s="14">
        <f t="shared" si="10"/>
        <v>633859.40683806781</v>
      </c>
      <c r="H22" s="14">
        <f t="shared" si="2"/>
        <v>25354.376273522714</v>
      </c>
      <c r="I22" s="14">
        <f t="shared" si="3"/>
        <v>0</v>
      </c>
      <c r="J22" s="14">
        <f t="shared" si="6"/>
        <v>697574.10116109159</v>
      </c>
      <c r="K22" s="14">
        <f t="shared" si="7"/>
        <v>63714.694323023781</v>
      </c>
      <c r="L22" s="2"/>
      <c r="M22" s="2"/>
      <c r="N22" s="2"/>
      <c r="O22" s="2"/>
      <c r="P22" s="2"/>
    </row>
    <row r="23" spans="1:16" ht="18" x14ac:dyDescent="0.35">
      <c r="A23" s="2">
        <f t="shared" si="8"/>
        <v>22</v>
      </c>
      <c r="B23" s="2">
        <f t="shared" si="9"/>
        <v>56</v>
      </c>
      <c r="C23" s="14">
        <f t="shared" si="4"/>
        <v>159513.7648128329</v>
      </c>
      <c r="D23" s="14">
        <f t="shared" si="0"/>
        <v>35093.028258823237</v>
      </c>
      <c r="E23" s="14">
        <f t="shared" si="5"/>
        <v>83713.255726927309</v>
      </c>
      <c r="F23" s="14">
        <f t="shared" si="1"/>
        <v>40707.480827082356</v>
      </c>
      <c r="G23" s="14">
        <f t="shared" si="10"/>
        <v>697574.10116109159</v>
      </c>
      <c r="H23" s="14">
        <f t="shared" si="2"/>
        <v>27902.964046443663</v>
      </c>
      <c r="I23" s="14">
        <f t="shared" si="3"/>
        <v>0</v>
      </c>
      <c r="J23" s="14">
        <f t="shared" si="6"/>
        <v>766184.5460346177</v>
      </c>
      <c r="K23" s="14">
        <f t="shared" si="7"/>
        <v>68610.44487352611</v>
      </c>
      <c r="L23" s="2"/>
      <c r="M23" s="2"/>
      <c r="N23" s="2"/>
      <c r="O23" s="2"/>
      <c r="P23" s="2"/>
    </row>
    <row r="24" spans="1:16" ht="18" x14ac:dyDescent="0.35">
      <c r="A24" s="2">
        <f t="shared" si="8"/>
        <v>23</v>
      </c>
      <c r="B24" s="2">
        <f t="shared" si="9"/>
        <v>57</v>
      </c>
      <c r="C24" s="14">
        <f t="shared" si="4"/>
        <v>165894.31540534622</v>
      </c>
      <c r="D24" s="14">
        <f t="shared" si="0"/>
        <v>36496.74938917617</v>
      </c>
      <c r="E24" s="14">
        <f t="shared" si="5"/>
        <v>86224.653398735129</v>
      </c>
      <c r="F24" s="14">
        <f t="shared" si="1"/>
        <v>43172.912617434922</v>
      </c>
      <c r="G24" s="14">
        <f t="shared" si="10"/>
        <v>766184.5460346177</v>
      </c>
      <c r="H24" s="14">
        <f t="shared" si="2"/>
        <v>30647.381841384708</v>
      </c>
      <c r="I24" s="14">
        <f t="shared" si="3"/>
        <v>0</v>
      </c>
      <c r="J24" s="14">
        <f t="shared" si="6"/>
        <v>840004.84049343725</v>
      </c>
      <c r="K24" s="14">
        <f t="shared" si="7"/>
        <v>73820.294458819553</v>
      </c>
      <c r="L24" s="2"/>
      <c r="M24" s="2"/>
      <c r="N24" s="2"/>
      <c r="O24" s="2"/>
      <c r="P24" s="2"/>
    </row>
    <row r="25" spans="1:16" ht="18" x14ac:dyDescent="0.35">
      <c r="A25" s="2">
        <f t="shared" si="8"/>
        <v>24</v>
      </c>
      <c r="B25" s="2">
        <f t="shared" si="9"/>
        <v>58</v>
      </c>
      <c r="C25" s="14">
        <f t="shared" si="4"/>
        <v>172530.08802156008</v>
      </c>
      <c r="D25" s="14">
        <f t="shared" si="0"/>
        <v>37956.619364743216</v>
      </c>
      <c r="E25" s="14">
        <f t="shared" si="5"/>
        <v>88811.393000697179</v>
      </c>
      <c r="F25" s="14">
        <f t="shared" si="1"/>
        <v>45762.07565611969</v>
      </c>
      <c r="G25" s="14">
        <f t="shared" si="10"/>
        <v>840004.84049343725</v>
      </c>
      <c r="H25" s="14">
        <f t="shared" si="2"/>
        <v>33600.193619737489</v>
      </c>
      <c r="I25" s="14">
        <f t="shared" si="3"/>
        <v>0</v>
      </c>
      <c r="J25" s="14">
        <f t="shared" si="6"/>
        <v>919367.1097692945</v>
      </c>
      <c r="K25" s="14">
        <f t="shared" si="7"/>
        <v>79362.269275857252</v>
      </c>
      <c r="L25" s="2"/>
      <c r="M25" s="2"/>
      <c r="N25" s="2"/>
      <c r="O25" s="2"/>
      <c r="P25" s="2"/>
    </row>
    <row r="26" spans="1:16" ht="18" x14ac:dyDescent="0.35">
      <c r="A26" s="2">
        <f>1+A25</f>
        <v>25</v>
      </c>
      <c r="B26" s="2">
        <f t="shared" si="9"/>
        <v>59</v>
      </c>
      <c r="C26" s="14">
        <f t="shared" si="4"/>
        <v>179431.29154242249</v>
      </c>
      <c r="D26" s="14">
        <f t="shared" si="0"/>
        <v>39474.884139332949</v>
      </c>
      <c r="E26" s="14">
        <f t="shared" si="5"/>
        <v>91475.734790718096</v>
      </c>
      <c r="F26" s="14">
        <f t="shared" si="1"/>
        <v>48480.672612371447</v>
      </c>
      <c r="G26" s="14">
        <f t="shared" si="10"/>
        <v>919367.1097692945</v>
      </c>
      <c r="H26" s="14">
        <f t="shared" si="2"/>
        <v>36774.684390771778</v>
      </c>
      <c r="I26" s="14">
        <f t="shared" si="3"/>
        <v>0</v>
      </c>
      <c r="J26" s="14">
        <f t="shared" si="6"/>
        <v>1004622.4667724377</v>
      </c>
      <c r="K26" s="14">
        <f t="shared" si="7"/>
        <v>85255.357003143174</v>
      </c>
      <c r="L26" s="2"/>
      <c r="M26" s="2"/>
      <c r="N26" s="2"/>
      <c r="O26" s="2"/>
      <c r="P26" s="2"/>
    </row>
    <row r="27" spans="1:16" ht="18" x14ac:dyDescent="0.35">
      <c r="A27" s="2">
        <f t="shared" si="8"/>
        <v>26</v>
      </c>
      <c r="B27" s="2">
        <f t="shared" si="9"/>
        <v>60</v>
      </c>
      <c r="C27" s="14">
        <f t="shared" si="4"/>
        <v>186608.5432041194</v>
      </c>
      <c r="D27" s="14">
        <f t="shared" si="0"/>
        <v>41053.879504906268</v>
      </c>
      <c r="E27" s="14">
        <f t="shared" si="5"/>
        <v>94220.006834439642</v>
      </c>
      <c r="F27" s="14">
        <f t="shared" si="1"/>
        <v>51334.656864773482</v>
      </c>
      <c r="G27" s="14">
        <f t="shared" si="10"/>
        <v>1004622.4667724377</v>
      </c>
      <c r="H27" s="14">
        <f t="shared" si="2"/>
        <v>40184.898670897506</v>
      </c>
      <c r="I27" s="14">
        <f t="shared" si="3"/>
        <v>0</v>
      </c>
      <c r="J27" s="14">
        <f t="shared" si="6"/>
        <v>1096142.0223081086</v>
      </c>
      <c r="K27" s="14">
        <f t="shared" si="7"/>
        <v>91519.555535670952</v>
      </c>
      <c r="L27" s="2"/>
      <c r="M27" s="2"/>
      <c r="N27" s="2"/>
      <c r="O27" s="2"/>
      <c r="P27" s="2"/>
    </row>
    <row r="28" spans="1:16" ht="18" x14ac:dyDescent="0.35">
      <c r="A28" s="2">
        <f t="shared" si="8"/>
        <v>27</v>
      </c>
      <c r="B28" s="2">
        <f t="shared" si="9"/>
        <v>61</v>
      </c>
      <c r="C28" s="14">
        <f t="shared" si="4"/>
        <v>194072.88493228419</v>
      </c>
      <c r="D28" s="14">
        <f t="shared" si="0"/>
        <v>42696.034685102524</v>
      </c>
      <c r="E28" s="14">
        <f t="shared" si="5"/>
        <v>97046.60703947283</v>
      </c>
      <c r="F28" s="14">
        <f t="shared" si="1"/>
        <v>54330.243207708831</v>
      </c>
      <c r="G28" s="14">
        <f t="shared" si="10"/>
        <v>1096142.0223081086</v>
      </c>
      <c r="H28" s="14">
        <f t="shared" si="2"/>
        <v>43845.680892324344</v>
      </c>
      <c r="I28" s="14">
        <f t="shared" si="3"/>
        <v>0</v>
      </c>
      <c r="J28" s="14">
        <f t="shared" si="6"/>
        <v>1194317.9464081419</v>
      </c>
      <c r="K28" s="14">
        <f t="shared" si="7"/>
        <v>98175.92410003324</v>
      </c>
      <c r="L28" s="2"/>
      <c r="M28" s="2"/>
      <c r="N28" s="2"/>
      <c r="O28" s="2"/>
      <c r="P28" s="2"/>
    </row>
    <row r="29" spans="1:16" ht="18" x14ac:dyDescent="0.35">
      <c r="A29" s="2">
        <f t="shared" si="8"/>
        <v>28</v>
      </c>
      <c r="B29" s="2">
        <f t="shared" si="9"/>
        <v>62</v>
      </c>
      <c r="C29" s="14">
        <f t="shared" si="4"/>
        <v>201835.80032957555</v>
      </c>
      <c r="D29" s="14">
        <f t="shared" si="0"/>
        <v>44403.876072506624</v>
      </c>
      <c r="E29" s="14">
        <f t="shared" si="5"/>
        <v>99958.005250657021</v>
      </c>
      <c r="F29" s="14">
        <f t="shared" si="1"/>
        <v>57473.919006411903</v>
      </c>
      <c r="G29" s="14">
        <f t="shared" si="10"/>
        <v>1194317.9464081419</v>
      </c>
      <c r="H29" s="14">
        <f t="shared" si="2"/>
        <v>47772.717856325675</v>
      </c>
      <c r="I29" s="14">
        <f t="shared" si="3"/>
        <v>0</v>
      </c>
      <c r="J29" s="14">
        <f t="shared" si="6"/>
        <v>1299564.5832708795</v>
      </c>
      <c r="K29" s="14">
        <f t="shared" si="7"/>
        <v>105246.63686273759</v>
      </c>
    </row>
    <row r="30" spans="1:16" ht="18" x14ac:dyDescent="0.35">
      <c r="A30" s="2">
        <f t="shared" si="8"/>
        <v>29</v>
      </c>
      <c r="B30" s="2">
        <f t="shared" si="9"/>
        <v>63</v>
      </c>
      <c r="C30" s="14">
        <f t="shared" si="4"/>
        <v>209909.23234275857</v>
      </c>
      <c r="D30" s="14">
        <f t="shared" si="0"/>
        <v>46180.031115406884</v>
      </c>
      <c r="E30" s="14">
        <f t="shared" si="5"/>
        <v>102956.74540817674</v>
      </c>
      <c r="F30" s="14">
        <f t="shared" si="1"/>
        <v>60772.455819174938</v>
      </c>
      <c r="G30" s="14">
        <f t="shared" si="10"/>
        <v>1299564.5832708795</v>
      </c>
      <c r="H30" s="14">
        <f t="shared" si="2"/>
        <v>51982.583330835179</v>
      </c>
      <c r="I30" s="14">
        <f t="shared" si="3"/>
        <v>0</v>
      </c>
      <c r="J30" s="14">
        <f t="shared" si="6"/>
        <v>1412319.6224208896</v>
      </c>
      <c r="K30" s="14">
        <f t="shared" si="7"/>
        <v>112755.0391500101</v>
      </c>
    </row>
    <row r="31" spans="1:16" ht="18" x14ac:dyDescent="0.35">
      <c r="A31" s="2">
        <f t="shared" si="8"/>
        <v>30</v>
      </c>
      <c r="B31" s="2">
        <f t="shared" si="9"/>
        <v>64</v>
      </c>
      <c r="C31" s="14">
        <f t="shared" si="4"/>
        <v>218305.6016364689</v>
      </c>
      <c r="D31" s="14">
        <f t="shared" si="0"/>
        <v>48027.232360023161</v>
      </c>
      <c r="E31" s="14">
        <f t="shared" si="5"/>
        <v>106045.44777042203</v>
      </c>
      <c r="F31" s="14">
        <f t="shared" si="1"/>
        <v>64232.921506023704</v>
      </c>
      <c r="G31" s="14">
        <f t="shared" si="10"/>
        <v>1412319.6224208896</v>
      </c>
      <c r="H31" s="14">
        <f t="shared" si="2"/>
        <v>56492.784896835583</v>
      </c>
      <c r="I31" s="14">
        <f t="shared" si="3"/>
        <v>0</v>
      </c>
      <c r="J31" s="14">
        <f t="shared" si="6"/>
        <v>1533045.328823749</v>
      </c>
      <c r="K31" s="14">
        <f t="shared" si="7"/>
        <v>120725.70640285942</v>
      </c>
    </row>
    <row r="32" spans="1:16" ht="18" x14ac:dyDescent="0.35">
      <c r="A32" s="2">
        <f t="shared" si="8"/>
        <v>31</v>
      </c>
      <c r="B32" s="2">
        <f t="shared" si="9"/>
        <v>65</v>
      </c>
      <c r="C32" s="14">
        <f t="shared" si="4"/>
        <v>0</v>
      </c>
      <c r="D32" s="14">
        <f t="shared" si="0"/>
        <v>0</v>
      </c>
      <c r="E32" s="14">
        <f t="shared" si="5"/>
        <v>109226.8112035347</v>
      </c>
      <c r="F32" s="14">
        <f t="shared" si="1"/>
        <v>0</v>
      </c>
      <c r="G32" s="14">
        <f t="shared" si="10"/>
        <v>1533045.328823749</v>
      </c>
      <c r="H32" s="14">
        <f t="shared" si="2"/>
        <v>91982.719729424934</v>
      </c>
      <c r="I32" s="14">
        <f t="shared" si="3"/>
        <v>109226.8112035347</v>
      </c>
      <c r="J32" s="14">
        <f t="shared" si="6"/>
        <v>1515801.2373496392</v>
      </c>
      <c r="K32" s="14">
        <f t="shared" si="7"/>
        <v>-17244.091474109795</v>
      </c>
    </row>
    <row r="33" spans="1:11" ht="18" x14ac:dyDescent="0.35">
      <c r="A33" s="2">
        <f t="shared" si="8"/>
        <v>32</v>
      </c>
      <c r="B33" s="2">
        <f t="shared" si="9"/>
        <v>66</v>
      </c>
      <c r="C33" s="14">
        <f t="shared" si="4"/>
        <v>0</v>
      </c>
      <c r="D33" s="14">
        <f t="shared" si="0"/>
        <v>0</v>
      </c>
      <c r="E33" s="14">
        <f t="shared" si="5"/>
        <v>112503.61553964074</v>
      </c>
      <c r="F33" s="14">
        <f t="shared" si="1"/>
        <v>0</v>
      </c>
      <c r="G33" s="14">
        <f t="shared" si="10"/>
        <v>1515801.2373496392</v>
      </c>
      <c r="H33" s="14">
        <f t="shared" si="2"/>
        <v>90948.074240978342</v>
      </c>
      <c r="I33" s="14">
        <f t="shared" si="3"/>
        <v>112503.61553964074</v>
      </c>
      <c r="J33" s="14">
        <f t="shared" si="6"/>
        <v>1494245.6960509769</v>
      </c>
      <c r="K33" s="14">
        <f t="shared" si="7"/>
        <v>-21555.541298662312</v>
      </c>
    </row>
    <row r="34" spans="1:11" ht="18" x14ac:dyDescent="0.35">
      <c r="A34" s="2">
        <f>1+A33</f>
        <v>33</v>
      </c>
      <c r="B34" s="2">
        <f t="shared" si="9"/>
        <v>67</v>
      </c>
      <c r="C34" s="14">
        <f t="shared" si="4"/>
        <v>0</v>
      </c>
      <c r="D34" s="14">
        <f t="shared" ref="D34:D65" si="11">C34*tax_rate</f>
        <v>0</v>
      </c>
      <c r="E34" s="14">
        <f t="shared" si="5"/>
        <v>115878.72400582996</v>
      </c>
      <c r="F34" s="14">
        <f t="shared" ref="F34:F65" si="12">IF(retirement_age&gt;B34,C34-D34-E34,0)</f>
        <v>0</v>
      </c>
      <c r="G34" s="14">
        <f t="shared" si="10"/>
        <v>1494245.6960509769</v>
      </c>
      <c r="H34" s="14">
        <f t="shared" ref="H34:H65" si="13">IF(retirement_age&gt;B34,G34*investment_return_pre,G34*investment_return_post)</f>
        <v>89654.741763058613</v>
      </c>
      <c r="I34" s="14">
        <f t="shared" ref="I34:I65" si="14">IF(retirement_age&gt;B34,0,E34)</f>
        <v>115878.72400582996</v>
      </c>
      <c r="J34" s="14">
        <f t="shared" si="6"/>
        <v>1468021.7138082054</v>
      </c>
      <c r="K34" s="14">
        <f t="shared" si="7"/>
        <v>-26223.982242771424</v>
      </c>
    </row>
    <row r="35" spans="1:11" ht="18" x14ac:dyDescent="0.35">
      <c r="A35" s="2">
        <f t="shared" si="8"/>
        <v>34</v>
      </c>
      <c r="B35" s="2">
        <f t="shared" si="9"/>
        <v>68</v>
      </c>
      <c r="C35" s="14">
        <f t="shared" ref="C35:C66" si="15">IF(retirement_age&gt;B35,C34+C34*Annual_Income_Increase,0)</f>
        <v>0</v>
      </c>
      <c r="D35" s="14">
        <f t="shared" si="11"/>
        <v>0</v>
      </c>
      <c r="E35" s="14">
        <f t="shared" ref="E35:E66" si="16">E34+E34*annual_inflation</f>
        <v>119355.08572600487</v>
      </c>
      <c r="F35" s="14">
        <f t="shared" si="12"/>
        <v>0</v>
      </c>
      <c r="G35" s="14">
        <f t="shared" si="10"/>
        <v>1468021.7138082054</v>
      </c>
      <c r="H35" s="14">
        <f t="shared" si="13"/>
        <v>88081.30282849232</v>
      </c>
      <c r="I35" s="14">
        <f t="shared" si="14"/>
        <v>119355.08572600487</v>
      </c>
      <c r="J35" s="14">
        <f t="shared" si="6"/>
        <v>1436747.930910693</v>
      </c>
      <c r="K35" s="14">
        <f t="shared" si="7"/>
        <v>-31273.782897512428</v>
      </c>
    </row>
    <row r="36" spans="1:11" ht="18" x14ac:dyDescent="0.35">
      <c r="A36" s="2">
        <f t="shared" si="8"/>
        <v>35</v>
      </c>
      <c r="B36" s="2">
        <f t="shared" si="9"/>
        <v>69</v>
      </c>
      <c r="C36" s="14">
        <f t="shared" si="15"/>
        <v>0</v>
      </c>
      <c r="D36" s="14">
        <f t="shared" si="11"/>
        <v>0</v>
      </c>
      <c r="E36" s="14">
        <f t="shared" si="16"/>
        <v>122935.73829778501</v>
      </c>
      <c r="F36" s="14">
        <f t="shared" si="12"/>
        <v>0</v>
      </c>
      <c r="G36" s="14">
        <f t="shared" si="10"/>
        <v>1436747.930910693</v>
      </c>
      <c r="H36" s="14">
        <f t="shared" si="13"/>
        <v>86204.875854641577</v>
      </c>
      <c r="I36" s="14">
        <f t="shared" si="14"/>
        <v>122935.73829778501</v>
      </c>
      <c r="J36" s="14">
        <f t="shared" si="6"/>
        <v>1400017.0684675497</v>
      </c>
      <c r="K36" s="14">
        <f t="shared" si="7"/>
        <v>-36730.862443143269</v>
      </c>
    </row>
    <row r="37" spans="1:11" ht="18" x14ac:dyDescent="0.35">
      <c r="A37" s="2">
        <f t="shared" si="8"/>
        <v>36</v>
      </c>
      <c r="B37" s="2">
        <f t="shared" si="9"/>
        <v>70</v>
      </c>
      <c r="C37" s="14">
        <f t="shared" si="15"/>
        <v>0</v>
      </c>
      <c r="D37" s="14">
        <f t="shared" si="11"/>
        <v>0</v>
      </c>
      <c r="E37" s="14">
        <f t="shared" si="16"/>
        <v>126623.81044671856</v>
      </c>
      <c r="F37" s="14">
        <f t="shared" si="12"/>
        <v>0</v>
      </c>
      <c r="G37" s="14">
        <f t="shared" si="10"/>
        <v>1400017.0684675497</v>
      </c>
      <c r="H37" s="14">
        <f t="shared" si="13"/>
        <v>84001.024108052981</v>
      </c>
      <c r="I37" s="14">
        <f t="shared" si="14"/>
        <v>126623.81044671856</v>
      </c>
      <c r="J37" s="14">
        <f t="shared" si="6"/>
        <v>1357394.2821288842</v>
      </c>
      <c r="K37" s="14">
        <f t="shared" si="7"/>
        <v>-42622.786338665523</v>
      </c>
    </row>
    <row r="38" spans="1:11" ht="18" x14ac:dyDescent="0.35">
      <c r="A38" s="2">
        <f t="shared" si="8"/>
        <v>37</v>
      </c>
      <c r="B38" s="2">
        <f t="shared" si="9"/>
        <v>71</v>
      </c>
      <c r="C38" s="14">
        <f t="shared" si="15"/>
        <v>0</v>
      </c>
      <c r="D38" s="14">
        <f t="shared" si="11"/>
        <v>0</v>
      </c>
      <c r="E38" s="14">
        <f t="shared" si="16"/>
        <v>130422.52476012011</v>
      </c>
      <c r="F38" s="14">
        <f t="shared" si="12"/>
        <v>0</v>
      </c>
      <c r="G38" s="14">
        <f t="shared" si="10"/>
        <v>1357394.2821288842</v>
      </c>
      <c r="H38" s="14">
        <f t="shared" si="13"/>
        <v>81443.656927733056</v>
      </c>
      <c r="I38" s="14">
        <f t="shared" si="14"/>
        <v>130422.52476012011</v>
      </c>
      <c r="J38" s="14">
        <f t="shared" si="6"/>
        <v>1308415.4142964971</v>
      </c>
      <c r="K38" s="14">
        <f t="shared" si="7"/>
        <v>-48978.867832387099</v>
      </c>
    </row>
    <row r="39" spans="1:11" ht="18" x14ac:dyDescent="0.35">
      <c r="A39" s="2">
        <f t="shared" si="8"/>
        <v>38</v>
      </c>
      <c r="B39" s="2">
        <f t="shared" si="9"/>
        <v>72</v>
      </c>
      <c r="C39" s="14">
        <f t="shared" si="15"/>
        <v>0</v>
      </c>
      <c r="D39" s="14">
        <f t="shared" si="11"/>
        <v>0</v>
      </c>
      <c r="E39" s="14">
        <f t="shared" si="16"/>
        <v>134335.20050292372</v>
      </c>
      <c r="F39" s="14">
        <f t="shared" si="12"/>
        <v>0</v>
      </c>
      <c r="G39" s="14">
        <f t="shared" si="10"/>
        <v>1308415.4142964971</v>
      </c>
      <c r="H39" s="14">
        <f t="shared" si="13"/>
        <v>78504.924857789825</v>
      </c>
      <c r="I39" s="14">
        <f t="shared" si="14"/>
        <v>134335.20050292372</v>
      </c>
      <c r="J39" s="14">
        <f t="shared" si="6"/>
        <v>1252585.1386513633</v>
      </c>
      <c r="K39" s="14">
        <f t="shared" si="7"/>
        <v>-55830.275645133806</v>
      </c>
    </row>
    <row r="40" spans="1:11" ht="18" x14ac:dyDescent="0.35">
      <c r="A40" s="2">
        <f t="shared" si="8"/>
        <v>39</v>
      </c>
      <c r="B40" s="2">
        <f t="shared" si="9"/>
        <v>73</v>
      </c>
      <c r="C40" s="14">
        <f t="shared" si="15"/>
        <v>0</v>
      </c>
      <c r="D40" s="14">
        <f t="shared" si="11"/>
        <v>0</v>
      </c>
      <c r="E40" s="14">
        <f t="shared" si="16"/>
        <v>138365.25651801142</v>
      </c>
      <c r="F40" s="14">
        <f t="shared" si="12"/>
        <v>0</v>
      </c>
      <c r="G40" s="14">
        <f t="shared" si="10"/>
        <v>1252585.1386513633</v>
      </c>
      <c r="H40" s="14">
        <f t="shared" si="13"/>
        <v>75155.108319081803</v>
      </c>
      <c r="I40" s="14">
        <f t="shared" si="14"/>
        <v>138365.25651801142</v>
      </c>
      <c r="J40" s="14">
        <f t="shared" si="6"/>
        <v>1189374.9904524337</v>
      </c>
      <c r="K40" s="14">
        <f t="shared" si="7"/>
        <v>-63210.148198929615</v>
      </c>
    </row>
    <row r="41" spans="1:11" ht="18" x14ac:dyDescent="0.35">
      <c r="A41" s="2">
        <f t="shared" si="8"/>
        <v>40</v>
      </c>
      <c r="B41" s="2">
        <f t="shared" si="9"/>
        <v>74</v>
      </c>
      <c r="C41" s="14">
        <f t="shared" si="15"/>
        <v>0</v>
      </c>
      <c r="D41" s="14">
        <f t="shared" si="11"/>
        <v>0</v>
      </c>
      <c r="E41" s="14">
        <f t="shared" si="16"/>
        <v>142516.21421355175</v>
      </c>
      <c r="F41" s="14">
        <f t="shared" si="12"/>
        <v>0</v>
      </c>
      <c r="G41" s="14">
        <f t="shared" si="10"/>
        <v>1189374.9904524337</v>
      </c>
      <c r="H41" s="14">
        <f t="shared" si="13"/>
        <v>71362.499427146016</v>
      </c>
      <c r="I41" s="14">
        <f t="shared" si="14"/>
        <v>142516.21421355175</v>
      </c>
      <c r="J41" s="14">
        <f t="shared" si="6"/>
        <v>1118221.275666028</v>
      </c>
      <c r="K41" s="14">
        <f t="shared" si="7"/>
        <v>-71153.714786405675</v>
      </c>
    </row>
    <row r="42" spans="1:11" ht="18" x14ac:dyDescent="0.35">
      <c r="A42" s="2">
        <f t="shared" si="8"/>
        <v>41</v>
      </c>
      <c r="B42" s="2">
        <f t="shared" si="9"/>
        <v>75</v>
      </c>
      <c r="C42" s="14">
        <f t="shared" si="15"/>
        <v>0</v>
      </c>
      <c r="D42" s="14">
        <f t="shared" si="11"/>
        <v>0</v>
      </c>
      <c r="E42" s="14">
        <f t="shared" si="16"/>
        <v>146791.70063995829</v>
      </c>
      <c r="F42" s="14">
        <f t="shared" si="12"/>
        <v>0</v>
      </c>
      <c r="G42" s="14">
        <f t="shared" si="10"/>
        <v>1118221.275666028</v>
      </c>
      <c r="H42" s="14">
        <f t="shared" si="13"/>
        <v>67093.276539961676</v>
      </c>
      <c r="I42" s="14">
        <f t="shared" si="14"/>
        <v>146791.70063995829</v>
      </c>
      <c r="J42" s="14">
        <f t="shared" si="6"/>
        <v>1038522.8515660313</v>
      </c>
      <c r="K42" s="14">
        <f t="shared" si="7"/>
        <v>-79698.424099996686</v>
      </c>
    </row>
    <row r="43" spans="1:11" ht="18" x14ac:dyDescent="0.35">
      <c r="A43" s="2">
        <f t="shared" si="8"/>
        <v>42</v>
      </c>
      <c r="B43" s="2">
        <f t="shared" si="9"/>
        <v>76</v>
      </c>
      <c r="C43" s="14">
        <f t="shared" si="15"/>
        <v>0</v>
      </c>
      <c r="D43" s="14">
        <f t="shared" si="11"/>
        <v>0</v>
      </c>
      <c r="E43" s="14">
        <f t="shared" si="16"/>
        <v>151195.45165915703</v>
      </c>
      <c r="F43" s="14">
        <f t="shared" si="12"/>
        <v>0</v>
      </c>
      <c r="G43" s="14">
        <f t="shared" si="10"/>
        <v>1038522.8515660313</v>
      </c>
      <c r="H43" s="14">
        <f t="shared" si="13"/>
        <v>62311.371093961876</v>
      </c>
      <c r="I43" s="14">
        <f t="shared" si="14"/>
        <v>151195.45165915703</v>
      </c>
      <c r="J43" s="14">
        <f t="shared" si="6"/>
        <v>949638.77100083616</v>
      </c>
      <c r="K43" s="14">
        <f t="shared" si="7"/>
        <v>-88884.080565195181</v>
      </c>
    </row>
    <row r="44" spans="1:11" ht="18" x14ac:dyDescent="0.35">
      <c r="A44" s="2">
        <f t="shared" si="8"/>
        <v>43</v>
      </c>
      <c r="B44" s="2">
        <f t="shared" si="9"/>
        <v>77</v>
      </c>
      <c r="C44" s="14">
        <f t="shared" si="15"/>
        <v>0</v>
      </c>
      <c r="D44" s="14">
        <f t="shared" si="11"/>
        <v>0</v>
      </c>
      <c r="E44" s="14">
        <f t="shared" si="16"/>
        <v>155731.31520893174</v>
      </c>
      <c r="F44" s="14">
        <f t="shared" si="12"/>
        <v>0</v>
      </c>
      <c r="G44" s="14">
        <f t="shared" si="10"/>
        <v>949638.77100083616</v>
      </c>
      <c r="H44" s="14">
        <f t="shared" si="13"/>
        <v>56978.326260050169</v>
      </c>
      <c r="I44" s="14">
        <f t="shared" si="14"/>
        <v>155731.31520893174</v>
      </c>
      <c r="J44" s="14">
        <f t="shared" si="6"/>
        <v>850885.78205195465</v>
      </c>
      <c r="K44" s="14">
        <f t="shared" si="7"/>
        <v>-98752.98894888151</v>
      </c>
    </row>
    <row r="45" spans="1:11" ht="18" x14ac:dyDescent="0.35">
      <c r="A45" s="2">
        <f>1+A44</f>
        <v>44</v>
      </c>
      <c r="B45" s="2">
        <f t="shared" si="9"/>
        <v>78</v>
      </c>
      <c r="C45" s="14">
        <f t="shared" si="15"/>
        <v>0</v>
      </c>
      <c r="D45" s="14">
        <f t="shared" si="11"/>
        <v>0</v>
      </c>
      <c r="E45" s="14">
        <f t="shared" si="16"/>
        <v>160403.2546651997</v>
      </c>
      <c r="F45" s="14">
        <f t="shared" si="12"/>
        <v>0</v>
      </c>
      <c r="G45" s="14">
        <f t="shared" si="10"/>
        <v>850885.78205195465</v>
      </c>
      <c r="H45" s="14">
        <f t="shared" si="13"/>
        <v>51053.146923117274</v>
      </c>
      <c r="I45" s="14">
        <f t="shared" si="14"/>
        <v>160403.2546651997</v>
      </c>
      <c r="J45" s="14">
        <f t="shared" si="6"/>
        <v>741535.67430987221</v>
      </c>
      <c r="K45" s="14">
        <f t="shared" si="7"/>
        <v>-109350.10774208244</v>
      </c>
    </row>
    <row r="46" spans="1:11" ht="18" x14ac:dyDescent="0.35">
      <c r="A46" s="2">
        <f t="shared" si="8"/>
        <v>45</v>
      </c>
      <c r="B46" s="2">
        <f t="shared" si="9"/>
        <v>79</v>
      </c>
      <c r="C46" s="14">
        <f t="shared" si="15"/>
        <v>0</v>
      </c>
      <c r="D46" s="14">
        <f t="shared" si="11"/>
        <v>0</v>
      </c>
      <c r="E46" s="14">
        <f t="shared" si="16"/>
        <v>165215.35230515568</v>
      </c>
      <c r="F46" s="14">
        <f t="shared" si="12"/>
        <v>0</v>
      </c>
      <c r="G46" s="14">
        <f t="shared" si="10"/>
        <v>741535.67430987221</v>
      </c>
      <c r="H46" s="14">
        <f t="shared" si="13"/>
        <v>44492.14045859233</v>
      </c>
      <c r="I46" s="14">
        <f t="shared" si="14"/>
        <v>165215.35230515568</v>
      </c>
      <c r="J46" s="14">
        <f t="shared" si="6"/>
        <v>620812.46246330882</v>
      </c>
      <c r="K46" s="14">
        <f t="shared" si="7"/>
        <v>-120723.21184656338</v>
      </c>
    </row>
    <row r="47" spans="1:11" ht="18" x14ac:dyDescent="0.35">
      <c r="A47" s="2">
        <f t="shared" si="8"/>
        <v>46</v>
      </c>
      <c r="B47" s="2">
        <f t="shared" si="9"/>
        <v>80</v>
      </c>
      <c r="C47" s="14">
        <f t="shared" si="15"/>
        <v>0</v>
      </c>
      <c r="D47" s="14">
        <f t="shared" si="11"/>
        <v>0</v>
      </c>
      <c r="E47" s="14">
        <f t="shared" si="16"/>
        <v>170171.81287431036</v>
      </c>
      <c r="F47" s="14">
        <f t="shared" si="12"/>
        <v>0</v>
      </c>
      <c r="G47" s="14">
        <f t="shared" si="10"/>
        <v>620812.46246330882</v>
      </c>
      <c r="H47" s="14">
        <f t="shared" si="13"/>
        <v>37248.74774779853</v>
      </c>
      <c r="I47" s="14">
        <f t="shared" si="14"/>
        <v>170171.81287431036</v>
      </c>
      <c r="J47" s="14">
        <f t="shared" si="6"/>
        <v>487889.39733679703</v>
      </c>
      <c r="K47" s="14">
        <f t="shared" si="7"/>
        <v>-132923.06512651179</v>
      </c>
    </row>
    <row r="48" spans="1:11" ht="18" x14ac:dyDescent="0.35">
      <c r="A48" s="2">
        <f t="shared" si="8"/>
        <v>47</v>
      </c>
      <c r="B48" s="2">
        <f t="shared" si="9"/>
        <v>81</v>
      </c>
      <c r="C48" s="14">
        <f t="shared" si="15"/>
        <v>0</v>
      </c>
      <c r="D48" s="14">
        <f t="shared" si="11"/>
        <v>0</v>
      </c>
      <c r="E48" s="14">
        <f t="shared" si="16"/>
        <v>175276.96726053968</v>
      </c>
      <c r="F48" s="14">
        <f t="shared" si="12"/>
        <v>0</v>
      </c>
      <c r="G48" s="14">
        <f t="shared" si="10"/>
        <v>487889.39733679703</v>
      </c>
      <c r="H48" s="14">
        <f t="shared" si="13"/>
        <v>29273.363840207821</v>
      </c>
      <c r="I48" s="14">
        <f t="shared" si="14"/>
        <v>175276.96726053968</v>
      </c>
      <c r="J48" s="14">
        <f t="shared" si="6"/>
        <v>341885.79391646513</v>
      </c>
      <c r="K48" s="14">
        <f t="shared" si="7"/>
        <v>-146003.6034203319</v>
      </c>
    </row>
    <row r="49" spans="1:11" ht="18" x14ac:dyDescent="0.35">
      <c r="A49" s="2">
        <f t="shared" si="8"/>
        <v>48</v>
      </c>
      <c r="B49" s="2">
        <f t="shared" si="9"/>
        <v>82</v>
      </c>
      <c r="C49" s="14">
        <f t="shared" si="15"/>
        <v>0</v>
      </c>
      <c r="D49" s="14">
        <f t="shared" si="11"/>
        <v>0</v>
      </c>
      <c r="E49" s="14">
        <f t="shared" si="16"/>
        <v>180535.27627835586</v>
      </c>
      <c r="F49" s="14">
        <f t="shared" si="12"/>
        <v>0</v>
      </c>
      <c r="G49" s="14">
        <f t="shared" si="10"/>
        <v>341885.79391646513</v>
      </c>
      <c r="H49" s="14">
        <f t="shared" si="13"/>
        <v>20513.147634987909</v>
      </c>
      <c r="I49" s="14">
        <f t="shared" si="14"/>
        <v>180535.27627835586</v>
      </c>
      <c r="J49" s="14">
        <f t="shared" si="6"/>
        <v>181863.66527309717</v>
      </c>
      <c r="K49" s="14">
        <f t="shared" si="7"/>
        <v>-160022.12864336796</v>
      </c>
    </row>
    <row r="50" spans="1:11" ht="18" x14ac:dyDescent="0.35">
      <c r="A50" s="2">
        <f t="shared" si="8"/>
        <v>49</v>
      </c>
      <c r="B50" s="2">
        <f t="shared" si="9"/>
        <v>83</v>
      </c>
      <c r="C50" s="14">
        <f t="shared" si="15"/>
        <v>0</v>
      </c>
      <c r="D50" s="14">
        <f t="shared" si="11"/>
        <v>0</v>
      </c>
      <c r="E50" s="14">
        <f t="shared" si="16"/>
        <v>185951.33456670653</v>
      </c>
      <c r="F50" s="14">
        <f t="shared" si="12"/>
        <v>0</v>
      </c>
      <c r="G50" s="14">
        <f t="shared" si="10"/>
        <v>181863.66527309717</v>
      </c>
      <c r="H50" s="14">
        <f t="shared" si="13"/>
        <v>10911.81991638583</v>
      </c>
      <c r="I50" s="14">
        <f t="shared" si="14"/>
        <v>185951.33456670653</v>
      </c>
      <c r="J50" s="14">
        <f t="shared" si="6"/>
        <v>6824.1506227764767</v>
      </c>
      <c r="K50" s="14">
        <f t="shared" si="7"/>
        <v>-175039.51465032069</v>
      </c>
    </row>
    <row r="51" spans="1:11" ht="18" x14ac:dyDescent="0.35">
      <c r="A51" s="2">
        <f t="shared" si="8"/>
        <v>50</v>
      </c>
      <c r="B51" s="2">
        <f t="shared" si="9"/>
        <v>84</v>
      </c>
      <c r="C51" s="14">
        <f t="shared" si="15"/>
        <v>0</v>
      </c>
      <c r="D51" s="14">
        <f t="shared" si="11"/>
        <v>0</v>
      </c>
      <c r="E51" s="14">
        <f t="shared" si="16"/>
        <v>191529.87460370772</v>
      </c>
      <c r="F51" s="14">
        <f t="shared" si="12"/>
        <v>0</v>
      </c>
      <c r="G51" s="14">
        <f t="shared" si="10"/>
        <v>6824.1506227764767</v>
      </c>
      <c r="H51" s="14">
        <f t="shared" si="13"/>
        <v>409.44903736658858</v>
      </c>
      <c r="I51" s="14">
        <f t="shared" si="14"/>
        <v>191529.87460370772</v>
      </c>
      <c r="J51" s="14">
        <f t="shared" si="6"/>
        <v>-184296.27494356467</v>
      </c>
      <c r="K51" s="14">
        <f t="shared" si="7"/>
        <v>-191120.42556634115</v>
      </c>
    </row>
    <row r="52" spans="1:11" ht="18" x14ac:dyDescent="0.35">
      <c r="A52" s="2">
        <f t="shared" si="8"/>
        <v>51</v>
      </c>
      <c r="B52" s="2">
        <f t="shared" si="9"/>
        <v>85</v>
      </c>
      <c r="C52" s="14">
        <f t="shared" si="15"/>
        <v>0</v>
      </c>
      <c r="D52" s="14">
        <f t="shared" si="11"/>
        <v>0</v>
      </c>
      <c r="E52" s="14">
        <f t="shared" si="16"/>
        <v>197275.77084181894</v>
      </c>
      <c r="F52" s="14">
        <f t="shared" si="12"/>
        <v>0</v>
      </c>
      <c r="G52" s="14">
        <f t="shared" si="10"/>
        <v>-184296.27494356467</v>
      </c>
      <c r="H52" s="14">
        <f t="shared" si="13"/>
        <v>-11057.77649661388</v>
      </c>
      <c r="I52" s="14">
        <f t="shared" si="14"/>
        <v>197275.77084181894</v>
      </c>
      <c r="J52" s="14">
        <f t="shared" si="6"/>
        <v>-392629.82228199753</v>
      </c>
      <c r="K52" s="14">
        <f t="shared" si="7"/>
        <v>-208333.54733843287</v>
      </c>
    </row>
    <row r="53" spans="1:11" ht="18" x14ac:dyDescent="0.35">
      <c r="A53" s="2">
        <f t="shared" si="8"/>
        <v>52</v>
      </c>
      <c r="B53" s="2">
        <f t="shared" si="9"/>
        <v>86</v>
      </c>
      <c r="C53" s="14">
        <f t="shared" si="15"/>
        <v>0</v>
      </c>
      <c r="D53" s="14">
        <f t="shared" si="11"/>
        <v>0</v>
      </c>
      <c r="E53" s="14">
        <f t="shared" si="16"/>
        <v>203194.04396707352</v>
      </c>
      <c r="F53" s="14">
        <f t="shared" si="12"/>
        <v>0</v>
      </c>
      <c r="G53" s="14">
        <f t="shared" si="10"/>
        <v>-392629.82228199753</v>
      </c>
      <c r="H53" s="14">
        <f t="shared" si="13"/>
        <v>-23557.78933691985</v>
      </c>
      <c r="I53" s="14">
        <f t="shared" si="14"/>
        <v>203194.04396707352</v>
      </c>
      <c r="J53" s="14">
        <f t="shared" si="6"/>
        <v>-619381.65558599087</v>
      </c>
      <c r="K53" s="14">
        <f t="shared" si="7"/>
        <v>-226751.83330399333</v>
      </c>
    </row>
    <row r="54" spans="1:11" ht="18" x14ac:dyDescent="0.35">
      <c r="A54" s="2">
        <f t="shared" si="8"/>
        <v>53</v>
      </c>
      <c r="B54" s="2">
        <f t="shared" si="9"/>
        <v>87</v>
      </c>
      <c r="C54" s="14">
        <f t="shared" si="15"/>
        <v>0</v>
      </c>
      <c r="D54" s="14">
        <f t="shared" si="11"/>
        <v>0</v>
      </c>
      <c r="E54" s="14">
        <f t="shared" si="16"/>
        <v>209289.86528608573</v>
      </c>
      <c r="F54" s="14">
        <f t="shared" si="12"/>
        <v>0</v>
      </c>
      <c r="G54" s="14">
        <f t="shared" si="10"/>
        <v>-619381.65558599087</v>
      </c>
      <c r="H54" s="14">
        <f t="shared" si="13"/>
        <v>-37162.899335159447</v>
      </c>
      <c r="I54" s="14">
        <f t="shared" si="14"/>
        <v>209289.86528608573</v>
      </c>
      <c r="J54" s="14">
        <f t="shared" si="6"/>
        <v>-865834.42020723608</v>
      </c>
      <c r="K54" s="14">
        <f t="shared" si="7"/>
        <v>-246452.76462124521</v>
      </c>
    </row>
    <row r="55" spans="1:11" ht="18" x14ac:dyDescent="0.35">
      <c r="A55" s="2">
        <f>1+A54</f>
        <v>54</v>
      </c>
      <c r="B55" s="2">
        <f t="shared" si="9"/>
        <v>88</v>
      </c>
      <c r="C55" s="14">
        <f t="shared" si="15"/>
        <v>0</v>
      </c>
      <c r="D55" s="14">
        <f t="shared" si="11"/>
        <v>0</v>
      </c>
      <c r="E55" s="14">
        <f t="shared" si="16"/>
        <v>215568.56124466829</v>
      </c>
      <c r="F55" s="14">
        <f t="shared" si="12"/>
        <v>0</v>
      </c>
      <c r="G55" s="14">
        <f t="shared" si="10"/>
        <v>-865834.42020723608</v>
      </c>
      <c r="H55" s="14">
        <f t="shared" si="13"/>
        <v>-51950.065212434165</v>
      </c>
      <c r="I55" s="14">
        <f t="shared" si="14"/>
        <v>215568.56124466829</v>
      </c>
      <c r="J55" s="14">
        <f t="shared" si="6"/>
        <v>-1133353.0466643386</v>
      </c>
      <c r="K55" s="14">
        <f t="shared" si="7"/>
        <v>-267518.62645710248</v>
      </c>
    </row>
    <row r="56" spans="1:11" ht="18" x14ac:dyDescent="0.35">
      <c r="A56" s="2">
        <f t="shared" si="8"/>
        <v>55</v>
      </c>
      <c r="B56" s="2">
        <f t="shared" si="9"/>
        <v>89</v>
      </c>
      <c r="C56" s="14">
        <f t="shared" si="15"/>
        <v>0</v>
      </c>
      <c r="D56" s="14">
        <f t="shared" si="11"/>
        <v>0</v>
      </c>
      <c r="E56" s="14">
        <f t="shared" si="16"/>
        <v>222035.61808200835</v>
      </c>
      <c r="F56" s="14">
        <f t="shared" si="12"/>
        <v>0</v>
      </c>
      <c r="G56" s="14">
        <f t="shared" si="10"/>
        <v>-1133353.0466643386</v>
      </c>
      <c r="H56" s="14">
        <f t="shared" si="13"/>
        <v>-68001.182799860311</v>
      </c>
      <c r="I56" s="14">
        <f t="shared" si="14"/>
        <v>222035.61808200835</v>
      </c>
      <c r="J56" s="14">
        <f t="shared" si="6"/>
        <v>-1423389.8475462073</v>
      </c>
      <c r="K56" s="14">
        <f t="shared" si="7"/>
        <v>-290036.80088186869</v>
      </c>
    </row>
    <row r="57" spans="1:11" ht="18" x14ac:dyDescent="0.35">
      <c r="A57" s="2">
        <f t="shared" si="8"/>
        <v>56</v>
      </c>
      <c r="B57" s="2">
        <f t="shared" si="9"/>
        <v>90</v>
      </c>
      <c r="C57" s="14">
        <f t="shared" si="15"/>
        <v>0</v>
      </c>
      <c r="D57" s="14">
        <f t="shared" si="11"/>
        <v>0</v>
      </c>
      <c r="E57" s="14">
        <f t="shared" si="16"/>
        <v>228696.6866244686</v>
      </c>
      <c r="F57" s="14">
        <f t="shared" si="12"/>
        <v>0</v>
      </c>
      <c r="G57" s="14">
        <f t="shared" si="10"/>
        <v>-1423389.8475462073</v>
      </c>
      <c r="H57" s="14">
        <f t="shared" si="13"/>
        <v>-85403.390852772427</v>
      </c>
      <c r="I57" s="14">
        <f t="shared" si="14"/>
        <v>228696.6866244686</v>
      </c>
      <c r="J57" s="14">
        <f t="shared" si="6"/>
        <v>-1737489.9250234482</v>
      </c>
      <c r="K57" s="14">
        <f t="shared" si="7"/>
        <v>-314100.07747724093</v>
      </c>
    </row>
    <row r="58" spans="1:11" ht="18" x14ac:dyDescent="0.35">
      <c r="A58" s="2">
        <f t="shared" si="8"/>
        <v>57</v>
      </c>
      <c r="B58" s="2">
        <f t="shared" si="9"/>
        <v>91</v>
      </c>
      <c r="C58" s="14">
        <f t="shared" si="15"/>
        <v>0</v>
      </c>
      <c r="D58" s="14">
        <f t="shared" si="11"/>
        <v>0</v>
      </c>
      <c r="E58" s="14">
        <f t="shared" si="16"/>
        <v>235557.58722320266</v>
      </c>
      <c r="F58" s="14">
        <f t="shared" si="12"/>
        <v>0</v>
      </c>
      <c r="G58" s="14">
        <f t="shared" si="10"/>
        <v>-1737489.9250234482</v>
      </c>
      <c r="H58" s="14">
        <f t="shared" si="13"/>
        <v>-104249.39550140689</v>
      </c>
      <c r="I58" s="14">
        <f t="shared" si="14"/>
        <v>235557.58722320266</v>
      </c>
      <c r="J58" s="14">
        <f t="shared" si="6"/>
        <v>-2077296.9077480577</v>
      </c>
      <c r="K58" s="14">
        <f t="shared" si="7"/>
        <v>-339806.98272460955</v>
      </c>
    </row>
    <row r="59" spans="1:11" ht="18" x14ac:dyDescent="0.35">
      <c r="A59" s="2">
        <f t="shared" si="8"/>
        <v>58</v>
      </c>
      <c r="B59" s="2">
        <f t="shared" si="9"/>
        <v>92</v>
      </c>
      <c r="C59" s="14">
        <f t="shared" si="15"/>
        <v>0</v>
      </c>
      <c r="D59" s="14">
        <f t="shared" si="11"/>
        <v>0</v>
      </c>
      <c r="E59" s="14">
        <f t="shared" si="16"/>
        <v>242624.31483989873</v>
      </c>
      <c r="F59" s="14">
        <f t="shared" si="12"/>
        <v>0</v>
      </c>
      <c r="G59" s="14">
        <f t="shared" si="10"/>
        <v>-2077296.9077480577</v>
      </c>
      <c r="H59" s="14">
        <f t="shared" si="13"/>
        <v>-124637.81446488346</v>
      </c>
      <c r="I59" s="14">
        <f t="shared" si="14"/>
        <v>242624.31483989873</v>
      </c>
      <c r="J59" s="14">
        <f t="shared" si="6"/>
        <v>-2444559.03705284</v>
      </c>
      <c r="K59" s="14">
        <f t="shared" si="7"/>
        <v>-367262.12930478225</v>
      </c>
    </row>
    <row r="60" spans="1:11" ht="18" x14ac:dyDescent="0.35">
      <c r="A60" s="2">
        <f t="shared" si="8"/>
        <v>59</v>
      </c>
      <c r="B60" s="2">
        <f t="shared" si="9"/>
        <v>93</v>
      </c>
      <c r="C60" s="14">
        <f t="shared" si="15"/>
        <v>0</v>
      </c>
      <c r="D60" s="14">
        <f t="shared" si="11"/>
        <v>0</v>
      </c>
      <c r="E60" s="14">
        <f t="shared" si="16"/>
        <v>249903.04428509568</v>
      </c>
      <c r="F60" s="14">
        <f t="shared" si="12"/>
        <v>0</v>
      </c>
      <c r="G60" s="14">
        <f t="shared" si="10"/>
        <v>-2444559.03705284</v>
      </c>
      <c r="H60" s="14">
        <f t="shared" si="13"/>
        <v>-146673.5422231704</v>
      </c>
      <c r="I60" s="14">
        <f t="shared" si="14"/>
        <v>249903.04428509568</v>
      </c>
      <c r="J60" s="14">
        <f t="shared" si="6"/>
        <v>-2841135.6235611062</v>
      </c>
      <c r="K60" s="14">
        <f t="shared" si="7"/>
        <v>-396576.58650826616</v>
      </c>
    </row>
    <row r="61" spans="1:11" ht="18" x14ac:dyDescent="0.35">
      <c r="A61" s="2">
        <f t="shared" si="8"/>
        <v>60</v>
      </c>
      <c r="B61" s="2">
        <f t="shared" si="9"/>
        <v>94</v>
      </c>
      <c r="C61" s="14">
        <f t="shared" si="15"/>
        <v>0</v>
      </c>
      <c r="D61" s="14">
        <f t="shared" si="11"/>
        <v>0</v>
      </c>
      <c r="E61" s="14">
        <f t="shared" si="16"/>
        <v>257400.13561364854</v>
      </c>
      <c r="F61" s="14">
        <f t="shared" si="12"/>
        <v>0</v>
      </c>
      <c r="G61" s="14">
        <f t="shared" si="10"/>
        <v>-2841135.6235611062</v>
      </c>
      <c r="H61" s="14">
        <f t="shared" si="13"/>
        <v>-170468.13741366635</v>
      </c>
      <c r="I61" s="14">
        <f t="shared" si="14"/>
        <v>257400.13561364854</v>
      </c>
      <c r="J61" s="14">
        <f t="shared" si="6"/>
        <v>-3269003.896588421</v>
      </c>
      <c r="K61" s="14">
        <f t="shared" si="7"/>
        <v>-427868.2730273148</v>
      </c>
    </row>
    <row r="62" spans="1:11" ht="18" x14ac:dyDescent="0.35">
      <c r="A62" s="2">
        <f t="shared" si="8"/>
        <v>61</v>
      </c>
      <c r="B62" s="2">
        <f t="shared" si="9"/>
        <v>95</v>
      </c>
      <c r="C62" s="14">
        <f t="shared" si="15"/>
        <v>0</v>
      </c>
      <c r="D62" s="14">
        <f t="shared" si="11"/>
        <v>0</v>
      </c>
      <c r="E62" s="14">
        <f t="shared" si="16"/>
        <v>265122.13968205801</v>
      </c>
      <c r="F62" s="14">
        <f t="shared" si="12"/>
        <v>0</v>
      </c>
      <c r="G62" s="14">
        <f t="shared" si="10"/>
        <v>-3269003.896588421</v>
      </c>
      <c r="H62" s="14">
        <f t="shared" si="13"/>
        <v>-196140.23379530525</v>
      </c>
      <c r="I62" s="14">
        <f t="shared" si="14"/>
        <v>265122.13968205801</v>
      </c>
      <c r="J62" s="14">
        <f t="shared" si="6"/>
        <v>-3730266.2700657845</v>
      </c>
      <c r="K62" s="14">
        <f t="shared" si="7"/>
        <v>-461262.37347736349</v>
      </c>
    </row>
    <row r="63" spans="1:11" ht="18" x14ac:dyDescent="0.35">
      <c r="A63" s="2">
        <f t="shared" si="8"/>
        <v>62</v>
      </c>
      <c r="B63" s="2">
        <f t="shared" si="9"/>
        <v>96</v>
      </c>
      <c r="C63" s="14">
        <f t="shared" si="15"/>
        <v>0</v>
      </c>
      <c r="D63" s="14">
        <f t="shared" si="11"/>
        <v>0</v>
      </c>
      <c r="E63" s="14">
        <f t="shared" si="16"/>
        <v>273075.80387251975</v>
      </c>
      <c r="F63" s="14">
        <f t="shared" si="12"/>
        <v>0</v>
      </c>
      <c r="G63" s="14">
        <f t="shared" si="10"/>
        <v>-3730266.2700657845</v>
      </c>
      <c r="H63" s="14">
        <f t="shared" si="13"/>
        <v>-223815.97620394707</v>
      </c>
      <c r="I63" s="14">
        <f t="shared" si="14"/>
        <v>273075.80387251975</v>
      </c>
      <c r="J63" s="14">
        <f t="shared" si="6"/>
        <v>-4227158.050142251</v>
      </c>
      <c r="K63" s="14">
        <f t="shared" si="7"/>
        <v>-496891.7800764665</v>
      </c>
    </row>
    <row r="64" spans="1:11" ht="18" x14ac:dyDescent="0.35">
      <c r="A64" s="2">
        <f t="shared" si="8"/>
        <v>63</v>
      </c>
      <c r="B64" s="2">
        <f t="shared" si="9"/>
        <v>97</v>
      </c>
      <c r="C64" s="14">
        <f t="shared" si="15"/>
        <v>0</v>
      </c>
      <c r="D64" s="14">
        <f t="shared" si="11"/>
        <v>0</v>
      </c>
      <c r="E64" s="14">
        <f t="shared" si="16"/>
        <v>281268.07798869535</v>
      </c>
      <c r="F64" s="14">
        <f t="shared" si="12"/>
        <v>0</v>
      </c>
      <c r="G64" s="14">
        <f t="shared" si="10"/>
        <v>-4227158.050142251</v>
      </c>
      <c r="H64" s="14">
        <f t="shared" si="13"/>
        <v>-253629.48300853505</v>
      </c>
      <c r="I64" s="14">
        <f t="shared" si="14"/>
        <v>281268.07798869535</v>
      </c>
      <c r="J64" s="14">
        <f t="shared" si="6"/>
        <v>-4762055.611139481</v>
      </c>
      <c r="K64" s="14">
        <f t="shared" si="7"/>
        <v>-534897.56099723</v>
      </c>
    </row>
    <row r="65" spans="1:11" ht="18" x14ac:dyDescent="0.35">
      <c r="A65" s="2">
        <f t="shared" si="8"/>
        <v>64</v>
      </c>
      <c r="B65" s="2">
        <f t="shared" si="9"/>
        <v>98</v>
      </c>
      <c r="C65" s="14">
        <f t="shared" si="15"/>
        <v>0</v>
      </c>
      <c r="D65" s="14">
        <f t="shared" si="11"/>
        <v>0</v>
      </c>
      <c r="E65" s="14">
        <f t="shared" si="16"/>
        <v>289706.12032835622</v>
      </c>
      <c r="F65" s="14">
        <f t="shared" si="12"/>
        <v>0</v>
      </c>
      <c r="G65" s="14">
        <f t="shared" si="10"/>
        <v>-4762055.611139481</v>
      </c>
      <c r="H65" s="14">
        <f t="shared" si="13"/>
        <v>-285723.33666836884</v>
      </c>
      <c r="I65" s="14">
        <f t="shared" si="14"/>
        <v>289706.12032835622</v>
      </c>
      <c r="J65" s="14">
        <f t="shared" si="6"/>
        <v>-5337485.0681362059</v>
      </c>
      <c r="K65" s="14">
        <f t="shared" si="7"/>
        <v>-575429.45699672494</v>
      </c>
    </row>
    <row r="66" spans="1:11" ht="18" x14ac:dyDescent="0.35">
      <c r="A66" s="2">
        <f t="shared" si="8"/>
        <v>65</v>
      </c>
      <c r="B66" s="2">
        <f t="shared" si="9"/>
        <v>99</v>
      </c>
      <c r="C66" s="14">
        <f t="shared" si="15"/>
        <v>0</v>
      </c>
      <c r="D66" s="14">
        <f t="shared" ref="D66:D97" si="17">C66*tax_rate</f>
        <v>0</v>
      </c>
      <c r="E66" s="14">
        <f t="shared" si="16"/>
        <v>298397.30393820693</v>
      </c>
      <c r="F66" s="14">
        <f t="shared" ref="F66:F97" si="18">IF(retirement_age&gt;B66,C66-D66-E66,0)</f>
        <v>0</v>
      </c>
      <c r="G66" s="14">
        <f t="shared" si="10"/>
        <v>-5337485.0681362059</v>
      </c>
      <c r="H66" s="14">
        <f t="shared" ref="H66:H97" si="19">IF(retirement_age&gt;B66,G66*investment_return_pre,G66*investment_return_post)</f>
        <v>-320249.10408817232</v>
      </c>
      <c r="I66" s="14">
        <f t="shared" ref="I66:I101" si="20">IF(retirement_age&gt;B66,0,E66)</f>
        <v>298397.30393820693</v>
      </c>
      <c r="J66" s="14">
        <f t="shared" si="6"/>
        <v>-5956131.4761625854</v>
      </c>
      <c r="K66" s="14">
        <f t="shared" si="7"/>
        <v>-618646.40802637953</v>
      </c>
    </row>
    <row r="67" spans="1:11" ht="18" x14ac:dyDescent="0.35">
      <c r="A67" s="2">
        <f t="shared" si="8"/>
        <v>66</v>
      </c>
      <c r="B67" s="2">
        <f t="shared" si="9"/>
        <v>100</v>
      </c>
      <c r="C67" s="14">
        <f t="shared" ref="C67:C98" si="21">IF(retirement_age&gt;B67,C66+C66*Annual_Income_Increase,0)</f>
        <v>0</v>
      </c>
      <c r="D67" s="14">
        <f t="shared" si="17"/>
        <v>0</v>
      </c>
      <c r="E67" s="14">
        <f t="shared" ref="E67:E101" si="22">E66+E66*annual_inflation</f>
        <v>307349.2230563531</v>
      </c>
      <c r="F67" s="14">
        <f t="shared" si="18"/>
        <v>0</v>
      </c>
      <c r="G67" s="14">
        <f t="shared" si="10"/>
        <v>-5956131.4761625854</v>
      </c>
      <c r="H67" s="14">
        <f t="shared" si="19"/>
        <v>-357367.88856975513</v>
      </c>
      <c r="I67" s="14">
        <f t="shared" si="20"/>
        <v>307349.2230563531</v>
      </c>
      <c r="J67" s="14">
        <f t="shared" ref="J67:J101" si="23">G67+F67+H67-I67</f>
        <v>-6620848.5877886936</v>
      </c>
      <c r="K67" s="14">
        <f t="shared" ref="K67:K101" si="24">J67-G67</f>
        <v>-664717.11162610818</v>
      </c>
    </row>
    <row r="68" spans="1:11" ht="18" x14ac:dyDescent="0.35">
      <c r="A68" s="2">
        <f t="shared" ref="A68:A69" si="25">1+A67</f>
        <v>67</v>
      </c>
      <c r="B68" s="2">
        <f t="shared" ref="B68:B101" si="26">1+B67</f>
        <v>101</v>
      </c>
      <c r="C68" s="14">
        <f t="shared" si="21"/>
        <v>0</v>
      </c>
      <c r="D68" s="14">
        <f t="shared" si="17"/>
        <v>0</v>
      </c>
      <c r="E68" s="14">
        <f t="shared" si="22"/>
        <v>316569.69974804367</v>
      </c>
      <c r="F68" s="14">
        <f t="shared" si="18"/>
        <v>0</v>
      </c>
      <c r="G68" s="14">
        <f t="shared" ref="G68:G101" si="27">J67</f>
        <v>-6620848.5877886936</v>
      </c>
      <c r="H68" s="14">
        <f t="shared" si="19"/>
        <v>-397250.91526732163</v>
      </c>
      <c r="I68" s="14">
        <f t="shared" si="20"/>
        <v>316569.69974804367</v>
      </c>
      <c r="J68" s="14">
        <f t="shared" si="23"/>
        <v>-7334669.2028040588</v>
      </c>
      <c r="K68" s="14">
        <f t="shared" si="24"/>
        <v>-713820.61501536518</v>
      </c>
    </row>
    <row r="69" spans="1:11" ht="18" x14ac:dyDescent="0.35">
      <c r="A69" s="2">
        <f t="shared" si="25"/>
        <v>68</v>
      </c>
      <c r="B69" s="2">
        <f t="shared" si="26"/>
        <v>102</v>
      </c>
      <c r="C69" s="14">
        <f t="shared" si="21"/>
        <v>0</v>
      </c>
      <c r="D69" s="14">
        <f t="shared" si="17"/>
        <v>0</v>
      </c>
      <c r="E69" s="14">
        <f t="shared" si="22"/>
        <v>326066.79074048495</v>
      </c>
      <c r="F69" s="14">
        <f t="shared" si="18"/>
        <v>0</v>
      </c>
      <c r="G69" s="14">
        <f t="shared" si="27"/>
        <v>-7334669.2028040588</v>
      </c>
      <c r="H69" s="14">
        <f t="shared" si="19"/>
        <v>-440080.15216824348</v>
      </c>
      <c r="I69" s="14">
        <f t="shared" si="20"/>
        <v>326066.79074048495</v>
      </c>
      <c r="J69" s="14">
        <f t="shared" si="23"/>
        <v>-8100816.1457127873</v>
      </c>
      <c r="K69" s="14">
        <f t="shared" si="24"/>
        <v>-766146.9429087285</v>
      </c>
    </row>
    <row r="70" spans="1:11" ht="18" x14ac:dyDescent="0.35">
      <c r="A70" s="2">
        <f>1+A69</f>
        <v>69</v>
      </c>
      <c r="B70" s="2">
        <f t="shared" si="26"/>
        <v>103</v>
      </c>
      <c r="C70" s="14">
        <f t="shared" si="21"/>
        <v>0</v>
      </c>
      <c r="D70" s="14">
        <f t="shared" si="17"/>
        <v>0</v>
      </c>
      <c r="E70" s="14">
        <f t="shared" si="22"/>
        <v>335848.7944626995</v>
      </c>
      <c r="F70" s="14">
        <f t="shared" si="18"/>
        <v>0</v>
      </c>
      <c r="G70" s="14">
        <f t="shared" si="27"/>
        <v>-8100816.1457127873</v>
      </c>
      <c r="H70" s="14">
        <f t="shared" si="19"/>
        <v>-486048.96874276723</v>
      </c>
      <c r="I70" s="14">
        <f t="shared" si="20"/>
        <v>335848.7944626995</v>
      </c>
      <c r="J70" s="14">
        <f t="shared" si="23"/>
        <v>-8922713.9089182541</v>
      </c>
      <c r="K70" s="14">
        <f t="shared" si="24"/>
        <v>-821897.76320546679</v>
      </c>
    </row>
    <row r="71" spans="1:11" ht="18" x14ac:dyDescent="0.35">
      <c r="A71" s="2">
        <f t="shared" ref="A71:A82" si="28">1+A70</f>
        <v>70</v>
      </c>
      <c r="B71" s="2">
        <f t="shared" si="26"/>
        <v>104</v>
      </c>
      <c r="C71" s="14">
        <f t="shared" si="21"/>
        <v>0</v>
      </c>
      <c r="D71" s="14">
        <f t="shared" si="17"/>
        <v>0</v>
      </c>
      <c r="E71" s="14">
        <f t="shared" si="22"/>
        <v>345924.25829658046</v>
      </c>
      <c r="F71" s="14">
        <f t="shared" si="18"/>
        <v>0</v>
      </c>
      <c r="G71" s="14">
        <f t="shared" si="27"/>
        <v>-8922713.9089182541</v>
      </c>
      <c r="H71" s="14">
        <f t="shared" si="19"/>
        <v>-535362.83453509526</v>
      </c>
      <c r="I71" s="14">
        <f t="shared" si="20"/>
        <v>345924.25829658046</v>
      </c>
      <c r="J71" s="14">
        <f t="shared" si="23"/>
        <v>-9804001.0017499309</v>
      </c>
      <c r="K71" s="14">
        <f t="shared" si="24"/>
        <v>-881287.09283167683</v>
      </c>
    </row>
    <row r="72" spans="1:11" ht="18" x14ac:dyDescent="0.35">
      <c r="A72" s="2">
        <f t="shared" si="28"/>
        <v>71</v>
      </c>
      <c r="B72" s="2">
        <f t="shared" si="26"/>
        <v>105</v>
      </c>
      <c r="C72" s="14">
        <f t="shared" si="21"/>
        <v>0</v>
      </c>
      <c r="D72" s="14">
        <f t="shared" si="17"/>
        <v>0</v>
      </c>
      <c r="E72" s="14">
        <f t="shared" si="22"/>
        <v>356301.98604547785</v>
      </c>
      <c r="F72" s="14">
        <f t="shared" si="18"/>
        <v>0</v>
      </c>
      <c r="G72" s="14">
        <f t="shared" si="27"/>
        <v>-9804001.0017499309</v>
      </c>
      <c r="H72" s="14">
        <f t="shared" si="19"/>
        <v>-588240.06010499585</v>
      </c>
      <c r="I72" s="14">
        <f t="shared" si="20"/>
        <v>356301.98604547785</v>
      </c>
      <c r="J72" s="14">
        <f t="shared" si="23"/>
        <v>-10748543.047900405</v>
      </c>
      <c r="K72" s="14">
        <f t="shared" si="24"/>
        <v>-944542.04615047388</v>
      </c>
    </row>
    <row r="73" spans="1:11" ht="18" x14ac:dyDescent="0.35">
      <c r="A73" s="2">
        <f t="shared" si="28"/>
        <v>72</v>
      </c>
      <c r="B73" s="2">
        <f t="shared" si="26"/>
        <v>106</v>
      </c>
      <c r="C73" s="14">
        <f t="shared" si="21"/>
        <v>0</v>
      </c>
      <c r="D73" s="14">
        <f t="shared" si="17"/>
        <v>0</v>
      </c>
      <c r="E73" s="14">
        <f t="shared" si="22"/>
        <v>366991.04562684218</v>
      </c>
      <c r="F73" s="14">
        <f t="shared" si="18"/>
        <v>0</v>
      </c>
      <c r="G73" s="14">
        <f t="shared" si="27"/>
        <v>-10748543.047900405</v>
      </c>
      <c r="H73" s="14">
        <f t="shared" si="19"/>
        <v>-644912.58287402429</v>
      </c>
      <c r="I73" s="14">
        <f t="shared" si="20"/>
        <v>366991.04562684218</v>
      </c>
      <c r="J73" s="14">
        <f t="shared" si="23"/>
        <v>-11760446.676401271</v>
      </c>
      <c r="K73" s="14">
        <f t="shared" si="24"/>
        <v>-1011903.6285008658</v>
      </c>
    </row>
    <row r="74" spans="1:11" ht="18" x14ac:dyDescent="0.35">
      <c r="A74" s="2">
        <f t="shared" si="28"/>
        <v>73</v>
      </c>
      <c r="B74" s="2">
        <f t="shared" si="26"/>
        <v>107</v>
      </c>
      <c r="C74" s="14">
        <f t="shared" si="21"/>
        <v>0</v>
      </c>
      <c r="D74" s="14">
        <f t="shared" si="17"/>
        <v>0</v>
      </c>
      <c r="E74" s="14">
        <f t="shared" si="22"/>
        <v>378000.77699564747</v>
      </c>
      <c r="F74" s="14">
        <f t="shared" si="18"/>
        <v>0</v>
      </c>
      <c r="G74" s="14">
        <f t="shared" si="27"/>
        <v>-11760446.676401271</v>
      </c>
      <c r="H74" s="14">
        <f t="shared" si="19"/>
        <v>-705626.80058407621</v>
      </c>
      <c r="I74" s="14">
        <f t="shared" si="20"/>
        <v>378000.77699564747</v>
      </c>
      <c r="J74" s="14">
        <f t="shared" si="23"/>
        <v>-12844074.253980994</v>
      </c>
      <c r="K74" s="14">
        <f t="shared" si="24"/>
        <v>-1083627.5775797237</v>
      </c>
    </row>
    <row r="75" spans="1:11" ht="18" x14ac:dyDescent="0.35">
      <c r="A75" s="2">
        <f t="shared" si="28"/>
        <v>74</v>
      </c>
      <c r="B75" s="2">
        <f t="shared" si="26"/>
        <v>108</v>
      </c>
      <c r="C75" s="14">
        <f t="shared" si="21"/>
        <v>0</v>
      </c>
      <c r="D75" s="14">
        <f t="shared" si="17"/>
        <v>0</v>
      </c>
      <c r="E75" s="14">
        <f t="shared" si="22"/>
        <v>389340.80030551687</v>
      </c>
      <c r="F75" s="14">
        <f t="shared" si="18"/>
        <v>0</v>
      </c>
      <c r="G75" s="14">
        <f t="shared" si="27"/>
        <v>-12844074.253980994</v>
      </c>
      <c r="H75" s="14">
        <f t="shared" si="19"/>
        <v>-770644.45523885963</v>
      </c>
      <c r="I75" s="14">
        <f t="shared" si="20"/>
        <v>389340.80030551687</v>
      </c>
      <c r="J75" s="14">
        <f t="shared" si="23"/>
        <v>-14004059.509525372</v>
      </c>
      <c r="K75" s="14">
        <f t="shared" si="24"/>
        <v>-1159985.2555443775</v>
      </c>
    </row>
    <row r="76" spans="1:11" ht="18" x14ac:dyDescent="0.35">
      <c r="A76" s="2">
        <f t="shared" si="28"/>
        <v>75</v>
      </c>
      <c r="B76" s="2">
        <f t="shared" si="26"/>
        <v>109</v>
      </c>
      <c r="C76" s="14">
        <f t="shared" si="21"/>
        <v>0</v>
      </c>
      <c r="D76" s="14">
        <f t="shared" si="17"/>
        <v>0</v>
      </c>
      <c r="E76" s="14">
        <f t="shared" si="22"/>
        <v>401021.02431468235</v>
      </c>
      <c r="F76" s="14">
        <f t="shared" si="18"/>
        <v>0</v>
      </c>
      <c r="G76" s="14">
        <f t="shared" si="27"/>
        <v>-14004059.509525372</v>
      </c>
      <c r="H76" s="14">
        <f t="shared" si="19"/>
        <v>-840243.57057152223</v>
      </c>
      <c r="I76" s="14">
        <f t="shared" si="20"/>
        <v>401021.02431468235</v>
      </c>
      <c r="J76" s="14">
        <f t="shared" si="23"/>
        <v>-15245324.104411576</v>
      </c>
      <c r="K76" s="14">
        <f t="shared" si="24"/>
        <v>-1241264.5948862042</v>
      </c>
    </row>
    <row r="77" spans="1:11" ht="18" x14ac:dyDescent="0.35">
      <c r="A77" s="2">
        <f t="shared" si="28"/>
        <v>76</v>
      </c>
      <c r="B77" s="2">
        <f t="shared" si="26"/>
        <v>110</v>
      </c>
      <c r="C77" s="14">
        <f t="shared" si="21"/>
        <v>0</v>
      </c>
      <c r="D77" s="14">
        <f t="shared" si="17"/>
        <v>0</v>
      </c>
      <c r="E77" s="14">
        <f t="shared" si="22"/>
        <v>413051.65504412283</v>
      </c>
      <c r="F77" s="14">
        <f t="shared" si="18"/>
        <v>0</v>
      </c>
      <c r="G77" s="14">
        <f t="shared" si="27"/>
        <v>-15245324.104411576</v>
      </c>
      <c r="H77" s="14">
        <f t="shared" si="19"/>
        <v>-914719.44626469456</v>
      </c>
      <c r="I77" s="14">
        <f t="shared" si="20"/>
        <v>413051.65504412283</v>
      </c>
      <c r="J77" s="14">
        <f t="shared" si="23"/>
        <v>-16573095.205720395</v>
      </c>
      <c r="K77" s="14">
        <f t="shared" si="24"/>
        <v>-1327771.1013088189</v>
      </c>
    </row>
    <row r="78" spans="1:11" ht="18" x14ac:dyDescent="0.35">
      <c r="A78" s="2">
        <f t="shared" si="28"/>
        <v>77</v>
      </c>
      <c r="B78" s="2">
        <f t="shared" si="26"/>
        <v>111</v>
      </c>
      <c r="C78" s="14">
        <f t="shared" si="21"/>
        <v>0</v>
      </c>
      <c r="D78" s="14">
        <f t="shared" si="17"/>
        <v>0</v>
      </c>
      <c r="E78" s="14">
        <f t="shared" si="22"/>
        <v>425443.20469544653</v>
      </c>
      <c r="F78" s="14">
        <f t="shared" si="18"/>
        <v>0</v>
      </c>
      <c r="G78" s="14">
        <f t="shared" si="27"/>
        <v>-16573095.205720395</v>
      </c>
      <c r="H78" s="14">
        <f t="shared" si="19"/>
        <v>-994385.71234322363</v>
      </c>
      <c r="I78" s="14">
        <f t="shared" si="20"/>
        <v>425443.20469544653</v>
      </c>
      <c r="J78" s="14">
        <f t="shared" si="23"/>
        <v>-17992924.122759067</v>
      </c>
      <c r="K78" s="14">
        <f t="shared" si="24"/>
        <v>-1419828.9170386717</v>
      </c>
    </row>
    <row r="79" spans="1:11" ht="18" x14ac:dyDescent="0.35">
      <c r="A79" s="2">
        <f t="shared" si="28"/>
        <v>78</v>
      </c>
      <c r="B79" s="2">
        <f t="shared" si="26"/>
        <v>112</v>
      </c>
      <c r="C79" s="14">
        <f t="shared" si="21"/>
        <v>0</v>
      </c>
      <c r="D79" s="14">
        <f t="shared" si="17"/>
        <v>0</v>
      </c>
      <c r="E79" s="14">
        <f t="shared" si="22"/>
        <v>438206.50083630992</v>
      </c>
      <c r="F79" s="14">
        <f t="shared" si="18"/>
        <v>0</v>
      </c>
      <c r="G79" s="14">
        <f t="shared" si="27"/>
        <v>-17992924.122759067</v>
      </c>
      <c r="H79" s="14">
        <f t="shared" si="19"/>
        <v>-1079575.447365544</v>
      </c>
      <c r="I79" s="14">
        <f t="shared" si="20"/>
        <v>438206.50083630992</v>
      </c>
      <c r="J79" s="14">
        <f t="shared" si="23"/>
        <v>-19510706.07096092</v>
      </c>
      <c r="K79" s="14">
        <f t="shared" si="24"/>
        <v>-1517781.9482018538</v>
      </c>
    </row>
    <row r="80" spans="1:11" ht="18" x14ac:dyDescent="0.35">
      <c r="A80" s="2">
        <f t="shared" si="28"/>
        <v>79</v>
      </c>
      <c r="B80" s="2">
        <f t="shared" si="26"/>
        <v>113</v>
      </c>
      <c r="C80" s="14">
        <f t="shared" si="21"/>
        <v>0</v>
      </c>
      <c r="D80" s="14">
        <f t="shared" si="17"/>
        <v>0</v>
      </c>
      <c r="E80" s="14">
        <f t="shared" si="22"/>
        <v>451352.69586139923</v>
      </c>
      <c r="F80" s="14">
        <f t="shared" si="18"/>
        <v>0</v>
      </c>
      <c r="G80" s="14">
        <f t="shared" si="27"/>
        <v>-19510706.07096092</v>
      </c>
      <c r="H80" s="14">
        <f t="shared" si="19"/>
        <v>-1170642.3642576551</v>
      </c>
      <c r="I80" s="14">
        <f t="shared" si="20"/>
        <v>451352.69586139923</v>
      </c>
      <c r="J80" s="14">
        <f t="shared" si="23"/>
        <v>-21132701.131079976</v>
      </c>
      <c r="K80" s="14">
        <f t="shared" si="24"/>
        <v>-1621995.0601190552</v>
      </c>
    </row>
    <row r="81" spans="1:11" ht="18" x14ac:dyDescent="0.35">
      <c r="A81" s="2">
        <f t="shared" si="28"/>
        <v>80</v>
      </c>
      <c r="B81" s="2">
        <f t="shared" si="26"/>
        <v>114</v>
      </c>
      <c r="C81" s="14">
        <f t="shared" si="21"/>
        <v>0</v>
      </c>
      <c r="D81" s="14">
        <f t="shared" si="17"/>
        <v>0</v>
      </c>
      <c r="E81" s="14">
        <f t="shared" si="22"/>
        <v>464893.27673724119</v>
      </c>
      <c r="F81" s="14">
        <f t="shared" si="18"/>
        <v>0</v>
      </c>
      <c r="G81" s="14">
        <f t="shared" si="27"/>
        <v>-21132701.131079976</v>
      </c>
      <c r="H81" s="14">
        <f t="shared" si="19"/>
        <v>-1267962.0678647985</v>
      </c>
      <c r="I81" s="14">
        <f t="shared" si="20"/>
        <v>464893.27673724119</v>
      </c>
      <c r="J81" s="14">
        <f t="shared" si="23"/>
        <v>-22865556.475682016</v>
      </c>
      <c r="K81" s="14">
        <f t="shared" si="24"/>
        <v>-1732855.3446020409</v>
      </c>
    </row>
    <row r="82" spans="1:11" ht="18" x14ac:dyDescent="0.35">
      <c r="A82" s="2">
        <f t="shared" si="28"/>
        <v>81</v>
      </c>
      <c r="B82" s="2">
        <f t="shared" si="26"/>
        <v>115</v>
      </c>
      <c r="C82" s="14">
        <f t="shared" si="21"/>
        <v>0</v>
      </c>
      <c r="D82" s="14">
        <f t="shared" si="17"/>
        <v>0</v>
      </c>
      <c r="E82" s="14">
        <f t="shared" si="22"/>
        <v>478840.0750393584</v>
      </c>
      <c r="F82" s="14">
        <f t="shared" si="18"/>
        <v>0</v>
      </c>
      <c r="G82" s="14">
        <f t="shared" si="27"/>
        <v>-22865556.475682016</v>
      </c>
      <c r="H82" s="14">
        <f t="shared" si="19"/>
        <v>-1371933.388540921</v>
      </c>
      <c r="I82" s="14">
        <f t="shared" si="20"/>
        <v>478840.0750393584</v>
      </c>
      <c r="J82" s="14">
        <f t="shared" si="23"/>
        <v>-24716329.939262293</v>
      </c>
      <c r="K82" s="14">
        <f t="shared" si="24"/>
        <v>-1850773.4635802768</v>
      </c>
    </row>
    <row r="83" spans="1:11" ht="18" x14ac:dyDescent="0.35">
      <c r="A83" s="2">
        <f>1+A82</f>
        <v>82</v>
      </c>
      <c r="B83" s="2">
        <f t="shared" si="26"/>
        <v>116</v>
      </c>
      <c r="C83" s="14">
        <f t="shared" si="21"/>
        <v>0</v>
      </c>
      <c r="D83" s="14">
        <f t="shared" si="17"/>
        <v>0</v>
      </c>
      <c r="E83" s="14">
        <f t="shared" si="22"/>
        <v>493205.27729053918</v>
      </c>
      <c r="F83" s="14">
        <f t="shared" si="18"/>
        <v>0</v>
      </c>
      <c r="G83" s="14">
        <f t="shared" si="27"/>
        <v>-24716329.939262293</v>
      </c>
      <c r="H83" s="14">
        <f t="shared" si="19"/>
        <v>-1482979.7963557376</v>
      </c>
      <c r="I83" s="14">
        <f t="shared" si="20"/>
        <v>493205.27729053918</v>
      </c>
      <c r="J83" s="14">
        <f t="shared" si="23"/>
        <v>-26692515.01290857</v>
      </c>
      <c r="K83" s="14">
        <f t="shared" si="24"/>
        <v>-1976185.0736462772</v>
      </c>
    </row>
    <row r="84" spans="1:11" ht="18" x14ac:dyDescent="0.35">
      <c r="A84" s="2">
        <f t="shared" ref="A84:A93" si="29">1+A83</f>
        <v>83</v>
      </c>
      <c r="B84" s="2">
        <f t="shared" si="26"/>
        <v>117</v>
      </c>
      <c r="C84" s="14">
        <f t="shared" si="21"/>
        <v>0</v>
      </c>
      <c r="D84" s="14">
        <f t="shared" si="17"/>
        <v>0</v>
      </c>
      <c r="E84" s="14">
        <f t="shared" si="22"/>
        <v>508001.43560925534</v>
      </c>
      <c r="F84" s="14">
        <f t="shared" si="18"/>
        <v>0</v>
      </c>
      <c r="G84" s="14">
        <f t="shared" si="27"/>
        <v>-26692515.01290857</v>
      </c>
      <c r="H84" s="14">
        <f t="shared" si="19"/>
        <v>-1601550.9007745141</v>
      </c>
      <c r="I84" s="14">
        <f t="shared" si="20"/>
        <v>508001.43560925534</v>
      </c>
      <c r="J84" s="14">
        <f t="shared" si="23"/>
        <v>-28802067.349292338</v>
      </c>
      <c r="K84" s="14">
        <f t="shared" si="24"/>
        <v>-2109552.3363837674</v>
      </c>
    </row>
    <row r="85" spans="1:11" ht="18" x14ac:dyDescent="0.35">
      <c r="A85" s="2">
        <f t="shared" si="29"/>
        <v>84</v>
      </c>
      <c r="B85" s="2">
        <f t="shared" si="26"/>
        <v>118</v>
      </c>
      <c r="C85" s="14">
        <f t="shared" si="21"/>
        <v>0</v>
      </c>
      <c r="D85" s="14">
        <f t="shared" si="17"/>
        <v>0</v>
      </c>
      <c r="E85" s="14">
        <f t="shared" si="22"/>
        <v>523241.47867753298</v>
      </c>
      <c r="F85" s="14">
        <f t="shared" si="18"/>
        <v>0</v>
      </c>
      <c r="G85" s="14">
        <f t="shared" si="27"/>
        <v>-28802067.349292338</v>
      </c>
      <c r="H85" s="14">
        <f t="shared" si="19"/>
        <v>-1728124.0409575403</v>
      </c>
      <c r="I85" s="14">
        <f t="shared" si="20"/>
        <v>523241.47867753298</v>
      </c>
      <c r="J85" s="14">
        <f t="shared" si="23"/>
        <v>-31053432.868927412</v>
      </c>
      <c r="K85" s="14">
        <f t="shared" si="24"/>
        <v>-2251365.5196350738</v>
      </c>
    </row>
    <row r="86" spans="1:11" ht="18" x14ac:dyDescent="0.35">
      <c r="A86" s="2">
        <f t="shared" si="29"/>
        <v>85</v>
      </c>
      <c r="B86" s="2">
        <f t="shared" si="26"/>
        <v>119</v>
      </c>
      <c r="C86" s="14">
        <f t="shared" si="21"/>
        <v>0</v>
      </c>
      <c r="D86" s="14">
        <f t="shared" si="17"/>
        <v>0</v>
      </c>
      <c r="E86" s="14">
        <f t="shared" si="22"/>
        <v>538938.72303785896</v>
      </c>
      <c r="F86" s="14">
        <f t="shared" si="18"/>
        <v>0</v>
      </c>
      <c r="G86" s="14">
        <f t="shared" si="27"/>
        <v>-31053432.868927412</v>
      </c>
      <c r="H86" s="14">
        <f t="shared" si="19"/>
        <v>-1863205.9721356446</v>
      </c>
      <c r="I86" s="14">
        <f t="shared" si="20"/>
        <v>538938.72303785896</v>
      </c>
      <c r="J86" s="14">
        <f t="shared" si="23"/>
        <v>-33455577.564100914</v>
      </c>
      <c r="K86" s="14">
        <f t="shared" si="24"/>
        <v>-2402144.695173502</v>
      </c>
    </row>
    <row r="87" spans="1:11" ht="18" x14ac:dyDescent="0.35">
      <c r="A87" s="2">
        <f t="shared" si="29"/>
        <v>86</v>
      </c>
      <c r="B87" s="2">
        <f t="shared" si="26"/>
        <v>120</v>
      </c>
      <c r="C87" s="14">
        <f t="shared" si="21"/>
        <v>0</v>
      </c>
      <c r="D87" s="14">
        <f t="shared" si="17"/>
        <v>0</v>
      </c>
      <c r="E87" s="14">
        <f t="shared" si="22"/>
        <v>555106.88472899469</v>
      </c>
      <c r="F87" s="14">
        <f t="shared" si="18"/>
        <v>0</v>
      </c>
      <c r="G87" s="14">
        <f t="shared" si="27"/>
        <v>-33455577.564100914</v>
      </c>
      <c r="H87" s="14">
        <f t="shared" si="19"/>
        <v>-2007334.6538460548</v>
      </c>
      <c r="I87" s="14">
        <f t="shared" si="20"/>
        <v>555106.88472899469</v>
      </c>
      <c r="J87" s="14">
        <f t="shared" si="23"/>
        <v>-36018019.102675967</v>
      </c>
      <c r="K87" s="14">
        <f t="shared" si="24"/>
        <v>-2562441.5385750532</v>
      </c>
    </row>
    <row r="88" spans="1:11" ht="18" x14ac:dyDescent="0.35">
      <c r="A88" s="2">
        <f t="shared" si="29"/>
        <v>87</v>
      </c>
      <c r="B88" s="2">
        <f t="shared" si="26"/>
        <v>121</v>
      </c>
      <c r="C88" s="14">
        <f t="shared" si="21"/>
        <v>0</v>
      </c>
      <c r="D88" s="14">
        <f t="shared" si="17"/>
        <v>0</v>
      </c>
      <c r="E88" s="14">
        <f t="shared" si="22"/>
        <v>571760.09127086448</v>
      </c>
      <c r="F88" s="14">
        <f t="shared" si="18"/>
        <v>0</v>
      </c>
      <c r="G88" s="14">
        <f t="shared" si="27"/>
        <v>-36018019.102675967</v>
      </c>
      <c r="H88" s="14">
        <f t="shared" si="19"/>
        <v>-2161081.1461605579</v>
      </c>
      <c r="I88" s="14">
        <f t="shared" si="20"/>
        <v>571760.09127086448</v>
      </c>
      <c r="J88" s="14">
        <f t="shared" si="23"/>
        <v>-38750860.340107389</v>
      </c>
      <c r="K88" s="14">
        <f t="shared" si="24"/>
        <v>-2732841.2374314219</v>
      </c>
    </row>
    <row r="89" spans="1:11" ht="18" x14ac:dyDescent="0.35">
      <c r="A89" s="2">
        <f t="shared" si="29"/>
        <v>88</v>
      </c>
      <c r="B89" s="2">
        <f t="shared" si="26"/>
        <v>122</v>
      </c>
      <c r="C89" s="14">
        <f t="shared" si="21"/>
        <v>0</v>
      </c>
      <c r="D89" s="14">
        <f t="shared" si="17"/>
        <v>0</v>
      </c>
      <c r="E89" s="14">
        <f t="shared" si="22"/>
        <v>588912.89400899038</v>
      </c>
      <c r="F89" s="14">
        <f t="shared" si="18"/>
        <v>0</v>
      </c>
      <c r="G89" s="14">
        <f t="shared" si="27"/>
        <v>-38750860.340107389</v>
      </c>
      <c r="H89" s="14">
        <f t="shared" si="19"/>
        <v>-2325051.6204064433</v>
      </c>
      <c r="I89" s="14">
        <f t="shared" si="20"/>
        <v>588912.89400899038</v>
      </c>
      <c r="J89" s="14">
        <f t="shared" si="23"/>
        <v>-41664824.854522824</v>
      </c>
      <c r="K89" s="14">
        <f t="shared" si="24"/>
        <v>-2913964.5144154355</v>
      </c>
    </row>
    <row r="90" spans="1:11" ht="18" x14ac:dyDescent="0.35">
      <c r="A90" s="2">
        <f t="shared" si="29"/>
        <v>89</v>
      </c>
      <c r="B90" s="2">
        <f t="shared" si="26"/>
        <v>123</v>
      </c>
      <c r="C90" s="14">
        <f t="shared" si="21"/>
        <v>0</v>
      </c>
      <c r="D90" s="14">
        <f t="shared" si="17"/>
        <v>0</v>
      </c>
      <c r="E90" s="14">
        <f t="shared" si="22"/>
        <v>606580.28082926013</v>
      </c>
      <c r="F90" s="14">
        <f t="shared" si="18"/>
        <v>0</v>
      </c>
      <c r="G90" s="14">
        <f t="shared" si="27"/>
        <v>-41664824.854522824</v>
      </c>
      <c r="H90" s="14">
        <f t="shared" si="19"/>
        <v>-2499889.4912713692</v>
      </c>
      <c r="I90" s="14">
        <f t="shared" si="20"/>
        <v>606580.28082926013</v>
      </c>
      <c r="J90" s="14">
        <f t="shared" si="23"/>
        <v>-44771294.626623452</v>
      </c>
      <c r="K90" s="14">
        <f t="shared" si="24"/>
        <v>-3106469.7721006274</v>
      </c>
    </row>
    <row r="91" spans="1:11" ht="18" x14ac:dyDescent="0.35">
      <c r="A91" s="2">
        <f t="shared" si="29"/>
        <v>90</v>
      </c>
      <c r="B91" s="2">
        <f t="shared" si="26"/>
        <v>124</v>
      </c>
      <c r="C91" s="14">
        <f t="shared" si="21"/>
        <v>0</v>
      </c>
      <c r="D91" s="14">
        <f t="shared" si="17"/>
        <v>0</v>
      </c>
      <c r="E91" s="14">
        <f t="shared" si="22"/>
        <v>624777.68925413792</v>
      </c>
      <c r="F91" s="14">
        <f t="shared" si="18"/>
        <v>0</v>
      </c>
      <c r="G91" s="14">
        <f t="shared" si="27"/>
        <v>-44771294.626623452</v>
      </c>
      <c r="H91" s="14">
        <f t="shared" si="19"/>
        <v>-2686277.6775974068</v>
      </c>
      <c r="I91" s="14">
        <f t="shared" si="20"/>
        <v>624777.68925413792</v>
      </c>
      <c r="J91" s="14">
        <f t="shared" si="23"/>
        <v>-48082349.99347499</v>
      </c>
      <c r="K91" s="14">
        <f t="shared" si="24"/>
        <v>-3311055.3668515384</v>
      </c>
    </row>
    <row r="92" spans="1:11" ht="18" x14ac:dyDescent="0.35">
      <c r="A92" s="2">
        <f t="shared" si="29"/>
        <v>91</v>
      </c>
      <c r="B92" s="2">
        <f t="shared" si="26"/>
        <v>125</v>
      </c>
      <c r="C92" s="14">
        <f t="shared" si="21"/>
        <v>0</v>
      </c>
      <c r="D92" s="14">
        <f t="shared" si="17"/>
        <v>0</v>
      </c>
      <c r="E92" s="14">
        <f t="shared" si="22"/>
        <v>643521.01993176201</v>
      </c>
      <c r="F92" s="14">
        <f t="shared" si="18"/>
        <v>0</v>
      </c>
      <c r="G92" s="14">
        <f t="shared" si="27"/>
        <v>-48082349.99347499</v>
      </c>
      <c r="H92" s="14">
        <f t="shared" si="19"/>
        <v>-2884940.9996084995</v>
      </c>
      <c r="I92" s="14">
        <f t="shared" si="20"/>
        <v>643521.01993176201</v>
      </c>
      <c r="J92" s="14">
        <f t="shared" si="23"/>
        <v>-51610812.013015255</v>
      </c>
      <c r="K92" s="14">
        <f t="shared" si="24"/>
        <v>-3528462.0195402652</v>
      </c>
    </row>
    <row r="93" spans="1:11" ht="18" x14ac:dyDescent="0.35">
      <c r="A93" s="2">
        <f t="shared" si="29"/>
        <v>92</v>
      </c>
      <c r="B93" s="2">
        <f t="shared" si="26"/>
        <v>126</v>
      </c>
      <c r="C93" s="14">
        <f t="shared" si="21"/>
        <v>0</v>
      </c>
      <c r="D93" s="14">
        <f t="shared" si="17"/>
        <v>0</v>
      </c>
      <c r="E93" s="14">
        <f t="shared" si="22"/>
        <v>662826.65052971488</v>
      </c>
      <c r="F93" s="14">
        <f t="shared" si="18"/>
        <v>0</v>
      </c>
      <c r="G93" s="14">
        <f t="shared" si="27"/>
        <v>-51610812.013015255</v>
      </c>
      <c r="H93" s="14">
        <f t="shared" si="19"/>
        <v>-3096648.7207809151</v>
      </c>
      <c r="I93" s="14">
        <f t="shared" si="20"/>
        <v>662826.65052971488</v>
      </c>
      <c r="J93" s="14">
        <f t="shared" si="23"/>
        <v>-55370287.384325884</v>
      </c>
      <c r="K93" s="14">
        <f t="shared" si="24"/>
        <v>-3759475.371310629</v>
      </c>
    </row>
    <row r="94" spans="1:11" ht="18" x14ac:dyDescent="0.35">
      <c r="A94" s="2">
        <f>1+A93</f>
        <v>93</v>
      </c>
      <c r="B94" s="2">
        <f t="shared" si="26"/>
        <v>127</v>
      </c>
      <c r="C94" s="14">
        <f t="shared" si="21"/>
        <v>0</v>
      </c>
      <c r="D94" s="14">
        <f t="shared" si="17"/>
        <v>0</v>
      </c>
      <c r="E94" s="14">
        <f t="shared" si="22"/>
        <v>682711.45004560635</v>
      </c>
      <c r="F94" s="14">
        <f t="shared" si="18"/>
        <v>0</v>
      </c>
      <c r="G94" s="14">
        <f t="shared" si="27"/>
        <v>-55370287.384325884</v>
      </c>
      <c r="H94" s="14">
        <f t="shared" si="19"/>
        <v>-3322217.2430595527</v>
      </c>
      <c r="I94" s="14">
        <f t="shared" si="20"/>
        <v>682711.45004560635</v>
      </c>
      <c r="J94" s="14">
        <f t="shared" si="23"/>
        <v>-59375216.077431045</v>
      </c>
      <c r="K94" s="14">
        <f t="shared" si="24"/>
        <v>-4004928.6931051612</v>
      </c>
    </row>
    <row r="95" spans="1:11" ht="18" x14ac:dyDescent="0.35">
      <c r="A95" s="2">
        <f t="shared" ref="A95:A100" si="30">1+A94</f>
        <v>94</v>
      </c>
      <c r="B95" s="2">
        <f t="shared" si="26"/>
        <v>128</v>
      </c>
      <c r="C95" s="14">
        <f t="shared" si="21"/>
        <v>0</v>
      </c>
      <c r="D95" s="14">
        <f t="shared" si="17"/>
        <v>0</v>
      </c>
      <c r="E95" s="14">
        <f t="shared" si="22"/>
        <v>703192.79354697454</v>
      </c>
      <c r="F95" s="14">
        <f t="shared" si="18"/>
        <v>0</v>
      </c>
      <c r="G95" s="14">
        <f t="shared" si="27"/>
        <v>-59375216.077431045</v>
      </c>
      <c r="H95" s="14">
        <f t="shared" si="19"/>
        <v>-3562512.9646458626</v>
      </c>
      <c r="I95" s="14">
        <f t="shared" si="20"/>
        <v>703192.79354697454</v>
      </c>
      <c r="J95" s="14">
        <f t="shared" si="23"/>
        <v>-63640921.835623883</v>
      </c>
      <c r="K95" s="14">
        <f t="shared" si="24"/>
        <v>-4265705.7581928372</v>
      </c>
    </row>
    <row r="96" spans="1:11" ht="18" x14ac:dyDescent="0.35">
      <c r="A96" s="2">
        <f t="shared" si="30"/>
        <v>95</v>
      </c>
      <c r="B96" s="2">
        <f t="shared" si="26"/>
        <v>129</v>
      </c>
      <c r="C96" s="14">
        <f t="shared" si="21"/>
        <v>0</v>
      </c>
      <c r="D96" s="14">
        <f t="shared" si="17"/>
        <v>0</v>
      </c>
      <c r="E96" s="14">
        <f t="shared" si="22"/>
        <v>724288.57735338376</v>
      </c>
      <c r="F96" s="14">
        <f t="shared" si="18"/>
        <v>0</v>
      </c>
      <c r="G96" s="14">
        <f t="shared" si="27"/>
        <v>-63640921.835623883</v>
      </c>
      <c r="H96" s="14">
        <f t="shared" si="19"/>
        <v>-3818455.310137433</v>
      </c>
      <c r="I96" s="14">
        <f t="shared" si="20"/>
        <v>724288.57735338376</v>
      </c>
      <c r="J96" s="14">
        <f t="shared" si="23"/>
        <v>-68183665.723114699</v>
      </c>
      <c r="K96" s="14">
        <f t="shared" si="24"/>
        <v>-4542743.8874908164</v>
      </c>
    </row>
    <row r="97" spans="1:11" ht="18" x14ac:dyDescent="0.35">
      <c r="A97" s="2">
        <f t="shared" si="30"/>
        <v>96</v>
      </c>
      <c r="B97" s="2">
        <f t="shared" si="26"/>
        <v>130</v>
      </c>
      <c r="C97" s="14">
        <f t="shared" si="21"/>
        <v>0</v>
      </c>
      <c r="D97" s="14">
        <f t="shared" si="17"/>
        <v>0</v>
      </c>
      <c r="E97" s="14">
        <f t="shared" si="22"/>
        <v>746017.23467398528</v>
      </c>
      <c r="F97" s="14">
        <f t="shared" si="18"/>
        <v>0</v>
      </c>
      <c r="G97" s="14">
        <f t="shared" si="27"/>
        <v>-68183665.723114699</v>
      </c>
      <c r="H97" s="14">
        <f t="shared" si="19"/>
        <v>-4091019.9433868816</v>
      </c>
      <c r="I97" s="14">
        <f t="shared" si="20"/>
        <v>746017.23467398528</v>
      </c>
      <c r="J97" s="14">
        <f t="shared" si="23"/>
        <v>-73020702.901175573</v>
      </c>
      <c r="K97" s="14">
        <f t="shared" si="24"/>
        <v>-4837037.1780608743</v>
      </c>
    </row>
    <row r="98" spans="1:11" ht="18" x14ac:dyDescent="0.35">
      <c r="A98" s="2">
        <f t="shared" si="30"/>
        <v>97</v>
      </c>
      <c r="B98" s="2">
        <f t="shared" si="26"/>
        <v>131</v>
      </c>
      <c r="C98" s="14">
        <f t="shared" si="21"/>
        <v>0</v>
      </c>
      <c r="D98" s="14">
        <f t="shared" ref="D98:D101" si="31">C98*tax_rate</f>
        <v>0</v>
      </c>
      <c r="E98" s="14">
        <f t="shared" si="22"/>
        <v>768397.75171420479</v>
      </c>
      <c r="F98" s="14">
        <f t="shared" ref="F98:F101" si="32">IF(retirement_age&gt;B98,C98-D98-E98,0)</f>
        <v>0</v>
      </c>
      <c r="G98" s="14">
        <f t="shared" si="27"/>
        <v>-73020702.901175573</v>
      </c>
      <c r="H98" s="14">
        <f t="shared" ref="H98:H101" si="33">IF(retirement_age&gt;B98,G98*investment_return_pre,G98*investment_return_post)</f>
        <v>-4381242.1740705343</v>
      </c>
      <c r="I98" s="14">
        <f t="shared" si="20"/>
        <v>768397.75171420479</v>
      </c>
      <c r="J98" s="14">
        <f t="shared" si="23"/>
        <v>-78170342.82696031</v>
      </c>
      <c r="K98" s="14">
        <f t="shared" si="24"/>
        <v>-5149639.9257847369</v>
      </c>
    </row>
    <row r="99" spans="1:11" ht="18" x14ac:dyDescent="0.35">
      <c r="A99" s="2">
        <f t="shared" si="30"/>
        <v>98</v>
      </c>
      <c r="B99" s="2">
        <f t="shared" si="26"/>
        <v>132</v>
      </c>
      <c r="C99" s="14">
        <f t="shared" ref="C99:C101" si="34">IF(retirement_age&gt;B99,C98+C98*Annual_Income_Increase,0)</f>
        <v>0</v>
      </c>
      <c r="D99" s="14">
        <f t="shared" si="31"/>
        <v>0</v>
      </c>
      <c r="E99" s="14">
        <f t="shared" si="22"/>
        <v>791449.6842656309</v>
      </c>
      <c r="F99" s="14">
        <f t="shared" si="32"/>
        <v>0</v>
      </c>
      <c r="G99" s="14">
        <f t="shared" si="27"/>
        <v>-78170342.82696031</v>
      </c>
      <c r="H99" s="14">
        <f t="shared" si="33"/>
        <v>-4690220.5696176188</v>
      </c>
      <c r="I99" s="14">
        <f t="shared" si="20"/>
        <v>791449.6842656309</v>
      </c>
      <c r="J99" s="14">
        <f t="shared" si="23"/>
        <v>-83652013.080843553</v>
      </c>
      <c r="K99" s="14">
        <f t="shared" si="24"/>
        <v>-5481670.2538832426</v>
      </c>
    </row>
    <row r="100" spans="1:11" ht="18" x14ac:dyDescent="0.35">
      <c r="A100" s="2">
        <f t="shared" si="30"/>
        <v>99</v>
      </c>
      <c r="B100" s="2">
        <f t="shared" si="26"/>
        <v>133</v>
      </c>
      <c r="C100" s="14">
        <f t="shared" si="34"/>
        <v>0</v>
      </c>
      <c r="D100" s="14">
        <f t="shared" si="31"/>
        <v>0</v>
      </c>
      <c r="E100" s="14">
        <f t="shared" si="22"/>
        <v>815193.17479359987</v>
      </c>
      <c r="F100" s="14">
        <f t="shared" si="32"/>
        <v>0</v>
      </c>
      <c r="G100" s="14">
        <f t="shared" si="27"/>
        <v>-83652013.080843553</v>
      </c>
      <c r="H100" s="14">
        <f t="shared" si="33"/>
        <v>-5019120.7848506132</v>
      </c>
      <c r="I100" s="14">
        <f t="shared" si="20"/>
        <v>815193.17479359987</v>
      </c>
      <c r="J100" s="14">
        <f t="shared" si="23"/>
        <v>-89486327.040487766</v>
      </c>
      <c r="K100" s="14">
        <f t="shared" si="24"/>
        <v>-5834313.9596442133</v>
      </c>
    </row>
    <row r="101" spans="1:11" ht="18" x14ac:dyDescent="0.35">
      <c r="A101" s="2">
        <f>1+A100</f>
        <v>100</v>
      </c>
      <c r="B101" s="2">
        <f t="shared" si="26"/>
        <v>134</v>
      </c>
      <c r="C101" s="14">
        <f t="shared" si="34"/>
        <v>0</v>
      </c>
      <c r="D101" s="14">
        <f t="shared" si="31"/>
        <v>0</v>
      </c>
      <c r="E101" s="14">
        <f t="shared" si="22"/>
        <v>839648.97003740782</v>
      </c>
      <c r="F101" s="14">
        <f t="shared" si="32"/>
        <v>0</v>
      </c>
      <c r="G101" s="14">
        <f t="shared" si="27"/>
        <v>-89486327.040487766</v>
      </c>
      <c r="H101" s="14">
        <f t="shared" si="33"/>
        <v>-5369179.6224292656</v>
      </c>
      <c r="I101" s="14">
        <f t="shared" si="20"/>
        <v>839648.97003740782</v>
      </c>
      <c r="J101" s="14">
        <f t="shared" si="23"/>
        <v>-95695155.632954434</v>
      </c>
      <c r="K101" s="14">
        <f t="shared" si="24"/>
        <v>-6208828.5924666673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3DD8E-49D7-4AC2-AB5A-881ACDD9F364}">
  <sheetPr codeName="Sheet3"/>
  <dimension ref="A1:U27"/>
  <sheetViews>
    <sheetView workbookViewId="0">
      <selection activeCell="B8" sqref="B8"/>
    </sheetView>
  </sheetViews>
  <sheetFormatPr defaultRowHeight="14.4" x14ac:dyDescent="0.3"/>
  <cols>
    <col min="1" max="1" width="42.21875" customWidth="1"/>
  </cols>
  <sheetData>
    <row r="1" spans="1:21" ht="18" x14ac:dyDescent="0.35">
      <c r="A1" s="1" t="s">
        <v>21</v>
      </c>
      <c r="B1" s="9">
        <v>0.04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spans="1:21" ht="18" x14ac:dyDescent="0.35">
      <c r="A2" s="1" t="s">
        <v>24</v>
      </c>
      <c r="B2" s="9">
        <v>0.06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spans="1:21" ht="18" x14ac:dyDescent="0.35">
      <c r="A3" s="1" t="s">
        <v>25</v>
      </c>
      <c r="B3" s="9">
        <v>0.08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</row>
    <row r="4" spans="1:21" ht="18" x14ac:dyDescent="0.3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</row>
    <row r="5" spans="1:21" ht="18" x14ac:dyDescent="0.35">
      <c r="A5" s="1" t="s">
        <v>26</v>
      </c>
      <c r="B5" s="11">
        <f>VLOOKUP(Planner!A16,Support!A1:B3,2,FALSE)</f>
        <v>0.04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</row>
    <row r="6" spans="1:21" ht="18" x14ac:dyDescent="0.35">
      <c r="A6" s="1" t="s">
        <v>27</v>
      </c>
      <c r="B6" s="10">
        <f>VLOOKUP(Planner!A18,Support!A1:B3,2,FALSE)</f>
        <v>0.06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</row>
    <row r="7" spans="1:21" ht="18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</row>
    <row r="8" spans="1:21" ht="18" x14ac:dyDescent="0.35">
      <c r="A8" s="1" t="s">
        <v>28</v>
      </c>
      <c r="B8" s="2">
        <f>COUNTIF(Calculations!J2:J101,"&gt;=0")</f>
        <v>49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</row>
    <row r="9" spans="1:21" ht="18" x14ac:dyDescent="0.35">
      <c r="A9" s="1" t="s">
        <v>29</v>
      </c>
      <c r="B9" s="2">
        <f>current_age+years_before_money_runs_out</f>
        <v>84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1" ht="18" x14ac:dyDescent="0.3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  <row r="11" spans="1:21" ht="18" x14ac:dyDescent="0.3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</row>
    <row r="12" spans="1:21" ht="18" x14ac:dyDescent="0.3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</row>
    <row r="13" spans="1:21" ht="18" x14ac:dyDescent="0.3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</row>
    <row r="14" spans="1:21" ht="18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</row>
    <row r="15" spans="1:21" ht="18" x14ac:dyDescent="0.3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</row>
    <row r="16" spans="1:21" ht="18" x14ac:dyDescent="0.3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</row>
    <row r="17" spans="1:21" ht="18" x14ac:dyDescent="0.3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</row>
    <row r="18" spans="1:21" ht="18" x14ac:dyDescent="0.3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</row>
    <row r="19" spans="1:21" ht="18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</row>
    <row r="20" spans="1:21" ht="18" x14ac:dyDescent="0.3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</row>
    <row r="21" spans="1:21" ht="18" x14ac:dyDescent="0.3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</row>
    <row r="22" spans="1:21" ht="18" x14ac:dyDescent="0.3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</row>
    <row r="23" spans="1:21" ht="18" x14ac:dyDescent="0.3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</row>
    <row r="24" spans="1:21" ht="18" x14ac:dyDescent="0.3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</row>
    <row r="25" spans="1:21" ht="18" x14ac:dyDescent="0.3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</row>
    <row r="26" spans="1:21" ht="18" x14ac:dyDescent="0.3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</row>
    <row r="27" spans="1:21" ht="18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12</vt:i4>
      </vt:variant>
    </vt:vector>
  </HeadingPairs>
  <TitlesOfParts>
    <vt:vector size="16" baseType="lpstr">
      <vt:lpstr>Planner</vt:lpstr>
      <vt:lpstr>Detail</vt:lpstr>
      <vt:lpstr>Calculations</vt:lpstr>
      <vt:lpstr>Support</vt:lpstr>
      <vt:lpstr>age_when_money_runs_out</vt:lpstr>
      <vt:lpstr>Annual_Income_Increase</vt:lpstr>
      <vt:lpstr>annual_inflation</vt:lpstr>
      <vt:lpstr>current_age</vt:lpstr>
      <vt:lpstr>current_annual_expenses</vt:lpstr>
      <vt:lpstr>current_annual_income</vt:lpstr>
      <vt:lpstr>current_retirement_savings</vt:lpstr>
      <vt:lpstr>investment_return_post</vt:lpstr>
      <vt:lpstr>investment_return_pre</vt:lpstr>
      <vt:lpstr>retirement_age</vt:lpstr>
      <vt:lpstr>tax_rate</vt:lpstr>
      <vt:lpstr>years_before_money_runs_out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Travis Cuzick</dc:creator>
  <cp:lastModifiedBy>Koustubh</cp:lastModifiedBy>
  <dcterms:created xsi:type="dcterms:W3CDTF">2015-06-05T18:17:20Z</dcterms:created>
  <dcterms:modified xsi:type="dcterms:W3CDTF">2026-05-11T17:34:42Z</dcterms:modified>
</cp:coreProperties>
</file>